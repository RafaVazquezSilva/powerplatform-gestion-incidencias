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Comparativa" sheetId="2" state="visible" r:id="rId4"/>
    <sheet name="Casos" sheetId="3" state="visible" r:id="rId5"/>
    <sheet name="Resumen" sheetId="4" state="visible" r:id="rId6"/>
  </sheets>
  <definedNames>
    <definedName function="false" hidden="true" localSheetId="2" name="_xlnm._FilterDatabase" vbProcedure="false">Casos!$A$1:$P$31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<sst xmlns="http://schemas.openxmlformats.org/spreadsheetml/2006/main" count="614" uniqueCount="241">
  <si>
    <t xml:space="preserve">Conjunto de evaluación — Clasificación de incidencias AudioVital (Flujo 1)</t>
  </si>
  <si>
    <t xml:space="preserve">Proyecto de portafolio con datos ficticios. Autor: José Rafael Vázquez Silva.</t>
  </si>
  <si>
    <t xml:space="preserve">Objetivo</t>
  </si>
  <si>
    <t xml:space="preserve">Medir cómo clasifica el Flujo 1 (gpt-4.1-mini, temperatura 0, json_object, prompt con criterios documentales) 30 incidencias cuyo Tipo y Prioridad esperados se fijaron ANTES de ejecutarlas, a partir de los PDFs de la base documental.</t>
  </si>
  <si>
    <t xml:space="preserve">Composición</t>
  </si>
  <si>
    <t xml:space="preserve">30 casos: 12 Avería, 9 Reclamación, 9 Otro. 25 claros, 3 de frontera (en el límite entre dos prioridades) y 2 ambiguos (admiten dos lecturas razonables).</t>
  </si>
  <si>
    <t xml:space="preserve">Los casos donde dos respuestas son defendibles (EV-20, EV-21, EV-30) tienen una 'Alternativa aceptable'. Se mide el acierto estricto (solo el esperado) y el acierto con alternativas.</t>
  </si>
  <si>
    <t xml:space="preserve">Cómo rellenarlo</t>
  </si>
  <si>
    <t xml:space="preserve">1. Cargar las 30 descripciones en Dataverse (archivo eval_importar_incidencias.csv) y dejar que el Flujo 1 las clasifique.</t>
  </si>
  <si>
    <t xml:space="preserve">2. En la hoja 'Casos', rellenar SOLO las celdas amarillas: INC asignada, Tipo obtenido y Prioridad obtenida (hay desplegables).</t>
  </si>
  <si>
    <t xml:space="preserve">3. Las columnas de acierto y la hoja 'Resumen' se calculan solas con fórmulas.</t>
  </si>
  <si>
    <t xml:space="preserve">Leyenda</t>
  </si>
  <si>
    <t xml:space="preserve">Celdas amarillas = datos a rellenar con lo que devolvió el flujo. Texto azul = valores esperados fijados de antemano.</t>
  </si>
  <si>
    <t xml:space="preserve">La fila EV-01 lleva un ejemplo de formato en gris en la columna 'Notas'; puede borrarse.</t>
  </si>
  <si>
    <t xml:space="preserve">Versión de este archivo: resultados de la pasada v2 (prompt con 2 reglas añadidas + Estado escrito por expresión). La hoja Comparativa muestra v1 frente a v2.</t>
  </si>
  <si>
    <t xml:space="preserve">ID</t>
  </si>
  <si>
    <t xml:space="preserve">Categoría</t>
  </si>
  <si>
    <t xml:space="preserve">Tipo esperado</t>
  </si>
  <si>
    <t xml:space="preserve">Prioridad esperada</t>
  </si>
  <si>
    <t xml:space="preserve">Alternativa</t>
  </si>
  <si>
    <t xml:space="preserve">INC v1</t>
  </si>
  <si>
    <t xml:space="preserve">Tipo v1</t>
  </si>
  <si>
    <t xml:space="preserve">Prioridad v1</t>
  </si>
  <si>
    <t xml:space="preserve">Acierto v1 (con alt.)</t>
  </si>
  <si>
    <t xml:space="preserve">INC v2</t>
  </si>
  <si>
    <t xml:space="preserve">Tipo v2</t>
  </si>
  <si>
    <t xml:space="preserve">Prioridad v2</t>
  </si>
  <si>
    <t xml:space="preserve">Estado v2</t>
  </si>
  <si>
    <t xml:space="preserve">Escalada v2</t>
  </si>
  <si>
    <t xml:space="preserve">Acierto v2 (con alt.)</t>
  </si>
  <si>
    <t xml:space="preserve">Estado coherente v2</t>
  </si>
  <si>
    <t xml:space="preserve">Cambio</t>
  </si>
  <si>
    <t xml:space="preserve">INC-0012</t>
  </si>
  <si>
    <t xml:space="preserve">Avería</t>
  </si>
  <si>
    <t xml:space="preserve">Alta</t>
  </si>
  <si>
    <t xml:space="preserve">INC-0042</t>
  </si>
  <si>
    <t xml:space="preserve">Escalada</t>
  </si>
  <si>
    <t xml:space="preserve">Sí</t>
  </si>
  <si>
    <t xml:space="preserve">INC-0013</t>
  </si>
  <si>
    <t xml:space="preserve">INC-0043</t>
  </si>
  <si>
    <t xml:space="preserve">INC-0014</t>
  </si>
  <si>
    <t xml:space="preserve">INC-0044</t>
  </si>
  <si>
    <t xml:space="preserve">INC-0015</t>
  </si>
  <si>
    <t xml:space="preserve">Media</t>
  </si>
  <si>
    <t xml:space="preserve">INC-0045</t>
  </si>
  <si>
    <t xml:space="preserve">Abierta</t>
  </si>
  <si>
    <t xml:space="preserve">No</t>
  </si>
  <si>
    <t xml:space="preserve">INC-0016</t>
  </si>
  <si>
    <t xml:space="preserve">INC-0046</t>
  </si>
  <si>
    <t xml:space="preserve">INC-0017</t>
  </si>
  <si>
    <t xml:space="preserve">INC-0047</t>
  </si>
  <si>
    <t xml:space="preserve">INC-0018</t>
  </si>
  <si>
    <t xml:space="preserve">Baja</t>
  </si>
  <si>
    <t xml:space="preserve">INC-0048</t>
  </si>
  <si>
    <t xml:space="preserve">INC-0019</t>
  </si>
  <si>
    <t xml:space="preserve">INC-0049</t>
  </si>
  <si>
    <t xml:space="preserve">INC-0020</t>
  </si>
  <si>
    <t xml:space="preserve">INC-0050</t>
  </si>
  <si>
    <t xml:space="preserve">INC-0021</t>
  </si>
  <si>
    <t xml:space="preserve">INC-0051</t>
  </si>
  <si>
    <t xml:space="preserve">INC-0022</t>
  </si>
  <si>
    <t xml:space="preserve">INC-0052</t>
  </si>
  <si>
    <t xml:space="preserve">INC-0023</t>
  </si>
  <si>
    <t xml:space="preserve">INC-0053</t>
  </si>
  <si>
    <t xml:space="preserve">INC-0024</t>
  </si>
  <si>
    <t xml:space="preserve">Reclamación</t>
  </si>
  <si>
    <t xml:space="preserve">INC-0054</t>
  </si>
  <si>
    <t xml:space="preserve">INC-0025</t>
  </si>
  <si>
    <t xml:space="preserve">INC-0055</t>
  </si>
  <si>
    <t xml:space="preserve">INC-0026</t>
  </si>
  <si>
    <t xml:space="preserve">INC-0056</t>
  </si>
  <si>
    <t xml:space="preserve">INC-0027</t>
  </si>
  <si>
    <t xml:space="preserve">INC-0057</t>
  </si>
  <si>
    <t xml:space="preserve">INC-0028</t>
  </si>
  <si>
    <t xml:space="preserve">INC-0058</t>
  </si>
  <si>
    <t xml:space="preserve">INC-0029</t>
  </si>
  <si>
    <t xml:space="preserve">INC-0059</t>
  </si>
  <si>
    <t xml:space="preserve">INC-0030</t>
  </si>
  <si>
    <t xml:space="preserve">INC-0060</t>
  </si>
  <si>
    <t xml:space="preserve">INC-0031</t>
  </si>
  <si>
    <t xml:space="preserve">INC-0061</t>
  </si>
  <si>
    <t xml:space="preserve">INC-0032</t>
  </si>
  <si>
    <t xml:space="preserve">INC-0062</t>
  </si>
  <si>
    <t xml:space="preserve">INC-0033</t>
  </si>
  <si>
    <t xml:space="preserve">Otro</t>
  </si>
  <si>
    <t xml:space="preserve">INC-0063</t>
  </si>
  <si>
    <t xml:space="preserve">INC-0034</t>
  </si>
  <si>
    <t xml:space="preserve">INC-0064</t>
  </si>
  <si>
    <t xml:space="preserve">INC-0035</t>
  </si>
  <si>
    <t xml:space="preserve">INC-0065</t>
  </si>
  <si>
    <t xml:space="preserve">INC-0036</t>
  </si>
  <si>
    <t xml:space="preserve">INC-0066</t>
  </si>
  <si>
    <t xml:space="preserve">INC-0037</t>
  </si>
  <si>
    <t xml:space="preserve">INC-0067</t>
  </si>
  <si>
    <t xml:space="preserve">INC-0038</t>
  </si>
  <si>
    <t xml:space="preserve">INC-0068</t>
  </si>
  <si>
    <t xml:space="preserve">INC-0039</t>
  </si>
  <si>
    <t xml:space="preserve">INC-0069</t>
  </si>
  <si>
    <t xml:space="preserve">INC-0040</t>
  </si>
  <si>
    <t xml:space="preserve">INC-0070</t>
  </si>
  <si>
    <t xml:space="preserve">INC-0041</t>
  </si>
  <si>
    <t xml:space="preserve">INC-0071</t>
  </si>
  <si>
    <t xml:space="preserve">Resumen v1 → v2</t>
  </si>
  <si>
    <t xml:space="preserve">Acierto con alternativas — v1</t>
  </si>
  <si>
    <t xml:space="preserve">Acierto con alternativas — v2</t>
  </si>
  <si>
    <t xml:space="preserve">Casos corregidos</t>
  </si>
  <si>
    <t xml:space="preserve">Casos que empeoran (regresiones)</t>
  </si>
  <si>
    <t xml:space="preserve">Escalados perdidos v1 (Alta esperada no detectada)</t>
  </si>
  <si>
    <t xml:space="preserve">Escalados perdidos v2</t>
  </si>
  <si>
    <t xml:space="preserve">Estado coherente con la prioridad en v2</t>
  </si>
  <si>
    <t xml:space="preserve">Aviso metodológico: las dos reglas añadidas en v2 se escribieron tras ver los fallos de v1 en este mismo conjunto. El resultado v2 mide que la corrección funciona sin regresiones, pero es optimista como estimación de precisión en incidencias nuevas.</t>
  </si>
  <si>
    <t xml:space="preserve">Descripción de la incidencia</t>
  </si>
  <si>
    <t xml:space="preserve">Escalado esperado</t>
  </si>
  <si>
    <t xml:space="preserve">Alternativa aceptable</t>
  </si>
  <si>
    <t xml:space="preserve">Criterio (fuente)</t>
  </si>
  <si>
    <t xml:space="preserve">INC asignada</t>
  </si>
  <si>
    <t xml:space="preserve">Tipo obtenido</t>
  </si>
  <si>
    <t xml:space="preserve">Prioridad obtenida</t>
  </si>
  <si>
    <t xml:space="preserve">Acierto Tipo</t>
  </si>
  <si>
    <t xml:space="preserve">Acierto Prioridad</t>
  </si>
  <si>
    <t xml:space="preserve">Acierto completo</t>
  </si>
  <si>
    <t xml:space="preserve">Acierto con alternativa</t>
  </si>
  <si>
    <t xml:space="preserve">Notas</t>
  </si>
  <si>
    <t xml:space="preserve">EV-01</t>
  </si>
  <si>
    <t xml:space="preserve">Clara</t>
  </si>
  <si>
    <t xml:space="preserve">El cliente no oye nada con ninguno de los dos audífonos desde ayer; ninguno emite sonido.</t>
  </si>
  <si>
    <t xml:space="preserve">procedimiento_averias: pérdida total de función auditiva</t>
  </si>
  <si>
    <t xml:space="preserve">EV-02</t>
  </si>
  <si>
    <t xml:space="preserve">El audífono ha dejado de funcionar por completo y el cliente tiene revisión con el otorrino pasado mañana.</t>
  </si>
  <si>
    <t xml:space="preserve">procedimiento_averias: cita médica en las próximas 48 h</t>
  </si>
  <si>
    <t xml:space="preserve">EV-03</t>
  </si>
  <si>
    <t xml:space="preserve">La clienta ha perdido completamente la audición con el aparato y tiene una entrevista de trabajo mañana.</t>
  </si>
  <si>
    <t xml:space="preserve">procedimiento_averias: pérdida total + evento impostergable &lt; 48 h</t>
  </si>
  <si>
    <t xml:space="preserve">EV-04</t>
  </si>
  <si>
    <t xml:space="preserve">El volumen del audífono izquierdo ha bajado mucho, aunque el cliente sigue oyendo con él.</t>
  </si>
  <si>
    <t xml:space="preserve">procedimiento_averias: pérdida de volumen en un canal</t>
  </si>
  <si>
    <t xml:space="preserve">EV-05</t>
  </si>
  <si>
    <t xml:space="preserve">El audífono pita constantemente cuando el cliente lo lleva puesto en su uso normal.</t>
  </si>
  <si>
    <t xml:space="preserve">procedimiento_averias: pitido frecuente en uso normal</t>
  </si>
  <si>
    <t xml:space="preserve">EV-06</t>
  </si>
  <si>
    <t xml:space="preserve">El sonido se entrecorta a menudo durante las conversaciones, pero el aparato sigue funcionando.</t>
  </si>
  <si>
    <t xml:space="preserve">procedimiento_averias: fallo parcial que reduce la calidad</t>
  </si>
  <si>
    <t xml:space="preserve">EV-07</t>
  </si>
  <si>
    <t xml:space="preserve">Al ponerse el audífono suena un pitido ocasional y después funciona con normalidad.</t>
  </si>
  <si>
    <t xml:space="preserve">procedimiento_averias: pitido ocasional sin pérdida de función</t>
  </si>
  <si>
    <t xml:space="preserve">EV-08</t>
  </si>
  <si>
    <t xml:space="preserve">El molde está desgastado y algo amarillento; el audífono funciona bien.</t>
  </si>
  <si>
    <t xml:space="preserve">procedimiento_averias: desgaste del molde</t>
  </si>
  <si>
    <t xml:space="preserve">EV-09</t>
  </si>
  <si>
    <t xml:space="preserve">La batería recargable dura unas horas menos que cuando el audífono era nuevo.</t>
  </si>
  <si>
    <t xml:space="preserve">procedimiento_averias: batería que dura menos de lo esperado</t>
  </si>
  <si>
    <t xml:space="preserve">EV-10</t>
  </si>
  <si>
    <t xml:space="preserve">La carcasa del audífono tiene un arañazo visible, pero no afecta al funcionamiento.</t>
  </si>
  <si>
    <t xml:space="preserve">procedimiento_averias: fallo estético</t>
  </si>
  <si>
    <t xml:space="preserve">EV-11</t>
  </si>
  <si>
    <t xml:space="preserve">Frontera</t>
  </si>
  <si>
    <t xml:space="preserve">El audífono pita de vez en cuando, sobre todo al ponerse el gorro; el resto del tiempo va bien.</t>
  </si>
  <si>
    <t xml:space="preserve">Frontera ocasional/frecuente: el pitido es ocasional y ligado a una situación concreta</t>
  </si>
  <si>
    <t xml:space="preserve">EV-12</t>
  </si>
  <si>
    <t xml:space="preserve">El cliente dice que no oye nada con el audífono, pero que no tiene prisa porque está de viaje un mes.</t>
  </si>
  <si>
    <t xml:space="preserve">Frontera: la pérdida total es Alta aunque el cliente no exprese urgencia</t>
  </si>
  <si>
    <t xml:space="preserve">EV-13</t>
  </si>
  <si>
    <t xml:space="preserve">Me habéis cobrado dos veces la misma cuota de 89 € y quiero que me devolváis el dinero.</t>
  </si>
  <si>
    <t xml:space="preserve">politica_reclamaciones: cobro duplicado + exige devolución</t>
  </si>
  <si>
    <t xml:space="preserve">EV-14</t>
  </si>
  <si>
    <t xml:space="preserve">En el último recibo aparece un cargo de 350 € que no reconozco.</t>
  </si>
  <si>
    <t xml:space="preserve">politica_reclamaciones: cobro erróneo de importe relevante</t>
  </si>
  <si>
    <t xml:space="preserve">EV-15</t>
  </si>
  <si>
    <t xml:space="preserve">Exijo la devolución del importe del audífono porque no estoy satisfecho con la compra.</t>
  </si>
  <si>
    <t xml:space="preserve">politica_reclamaciones: exige devolución económica</t>
  </si>
  <si>
    <t xml:space="preserve">EV-16</t>
  </si>
  <si>
    <t xml:space="preserve">No estoy de acuerdo con que la revisión anual tenga coste; pensaba que estaba incluida en el contrato.</t>
  </si>
  <si>
    <t xml:space="preserve">politica_reclamaciones: disconformidad con condición contractual</t>
  </si>
  <si>
    <t xml:space="preserve">EV-17</t>
  </si>
  <si>
    <t xml:space="preserve">Me han cobrado 4 € de más en el envío de pilas; no pido nada, solo quiero que lo sepáis.</t>
  </si>
  <si>
    <t xml:space="preserve">politica_reclamaciones: cobro menor sin exigir devolución</t>
  </si>
  <si>
    <t xml:space="preserve">EV-18</t>
  </si>
  <si>
    <t xml:space="preserve">La persona que me atendió en la tienda fue poco amable.</t>
  </si>
  <si>
    <t xml:space="preserve">politica_reclamaciones: queja sobre trato sin importe</t>
  </si>
  <si>
    <t xml:space="preserve">EV-19</t>
  </si>
  <si>
    <t xml:space="preserve">Llevo dos semanas esperando a que me devuelvan una llamada y nadie me contesta.</t>
  </si>
  <si>
    <t xml:space="preserve">politica_reclamaciones: queja sobre comunicación sin importe</t>
  </si>
  <si>
    <t xml:space="preserve">EV-20</t>
  </si>
  <si>
    <t xml:space="preserve">Me cobraron 6 € de más y quiero que me los devolváis.</t>
  </si>
  <si>
    <t xml:space="preserve">Reclamación / Media</t>
  </si>
  <si>
    <t xml:space="preserve">Frontera importe menor vs. exigencia: el criterio literal da Alta por exigir devolución</t>
  </si>
  <si>
    <t xml:space="preserve">EV-21</t>
  </si>
  <si>
    <t xml:space="preserve">Ambigua</t>
  </si>
  <si>
    <t xml:space="preserve">El audífono nuevo se estropeó a la semana de comprarlo y quiero que me devolváis el dinero.</t>
  </si>
  <si>
    <t xml:space="preserve">Avería / Media</t>
  </si>
  <si>
    <t xml:space="preserve">Ambigua Avería/Reclamación: prima la exigencia de devolución</t>
  </si>
  <si>
    <t xml:space="preserve">EV-22</t>
  </si>
  <si>
    <t xml:space="preserve">Tengo cita esta tarde a las 17:00 y me ha surgido un imprevisto, no puedo ir.</t>
  </si>
  <si>
    <t xml:space="preserve">cambios_citas: cita en menos de 24 h y no puede acudir</t>
  </si>
  <si>
    <t xml:space="preserve">EV-23</t>
  </si>
  <si>
    <t xml:space="preserve">Necesito adelantar la cita de ajuste porque me operan de cataratas la semana que viene.</t>
  </si>
  <si>
    <t xml:space="preserve">cambios_citas: adelantar por motivo justificado</t>
  </si>
  <si>
    <t xml:space="preserve">EV-24</t>
  </si>
  <si>
    <t xml:space="preserve">Me voy de viaje el mes que viene; ¿podemos adelantar la revisión a esta semana?</t>
  </si>
  <si>
    <t xml:space="preserve">EV-25</t>
  </si>
  <si>
    <t xml:space="preserve">Quiero cambiar mi cita del día 28 al día 30; cualquier hora me va bien.</t>
  </si>
  <si>
    <t xml:space="preserve">cambios_citas: cambio estándar sin urgencia</t>
  </si>
  <si>
    <t xml:space="preserve">EV-26</t>
  </si>
  <si>
    <t xml:space="preserve">¿Cuál es el horario de la tienda de Zaragoza centro?</t>
  </si>
  <si>
    <t xml:space="preserve">Consulta informativa</t>
  </si>
  <si>
    <t xml:space="preserve">EV-27</t>
  </si>
  <si>
    <t xml:space="preserve">Quiero pedir cita para hacerme una prueba de audición.</t>
  </si>
  <si>
    <t xml:space="preserve">cambios_citas: petición de nueva cita sin urgencia</t>
  </si>
  <si>
    <t xml:space="preserve">EV-28</t>
  </si>
  <si>
    <t xml:space="preserve">Quiero cancelar la revisión del mes que viene.</t>
  </si>
  <si>
    <t xml:space="preserve">cambios_citas: cancelación sin urgencia</t>
  </si>
  <si>
    <t xml:space="preserve">EV-29</t>
  </si>
  <si>
    <t xml:space="preserve">¿Qué cubre la garantía de los moldes?</t>
  </si>
  <si>
    <t xml:space="preserve">Consulta informativa (garantia_productos)</t>
  </si>
  <si>
    <t xml:space="preserve">EV-30</t>
  </si>
  <si>
    <t xml:space="preserve">Mi audífono dejó de funcionar del todo y quiero cambiar la cita de reparación del viernes a mañana.</t>
  </si>
  <si>
    <t xml:space="preserve">Avería / Alta</t>
  </si>
  <si>
    <t xml:space="preserve">Ambigua Otro/Avería: cita ligada a una avería de prioridad Alta</t>
  </si>
  <si>
    <t xml:space="preserve">Ambigua: Avería/Alta coincide con la alternativa aceptable; escalado correcto.</t>
  </si>
  <si>
    <t xml:space="preserve">Resumen de la evaluación</t>
  </si>
  <si>
    <t xml:space="preserve">Métrica</t>
  </si>
  <si>
    <t xml:space="preserve">Aciertos</t>
  </si>
  <si>
    <t xml:space="preserve">Evaluados</t>
  </si>
  <si>
    <t xml:space="preserve">Precisión</t>
  </si>
  <si>
    <t xml:space="preserve">Tipo</t>
  </si>
  <si>
    <t xml:space="preserve">Prioridad</t>
  </si>
  <si>
    <t xml:space="preserve">Completo (Tipo y Prioridad)</t>
  </si>
  <si>
    <t xml:space="preserve">Completo con alternativas</t>
  </si>
  <si>
    <t xml:space="preserve">Acierto completo por categoría</t>
  </si>
  <si>
    <t xml:space="preserve">Matriz de confusión — Prioridad (filas: esperada · columnas: obtenida)</t>
  </si>
  <si>
    <t xml:space="preserve">Esperada \ Obtenida</t>
  </si>
  <si>
    <t xml:space="preserve">Total</t>
  </si>
  <si>
    <t xml:space="preserve">Matriz de confusión — Tipo (filas: esperado · columnas: obtenido)</t>
  </si>
  <si>
    <t xml:space="preserve">Esperado \ Obtenido</t>
  </si>
  <si>
    <t xml:space="preserve">Escalado (prioridad Alta) — impacto operativo</t>
  </si>
  <si>
    <t xml:space="preserve">Caso</t>
  </si>
  <si>
    <t xml:space="preserve">Nº</t>
  </si>
  <si>
    <t xml:space="preserve">Alta esperada y detectada (escalado correcto)</t>
  </si>
  <si>
    <t xml:space="preserve">Alta esperada NO detectada (escalado perdido)</t>
  </si>
  <si>
    <t xml:space="preserve">Escalado innecesario (no Alta clasificada como Alta)</t>
  </si>
  <si>
    <t xml:space="preserve">Un escalado perdido es el error más grave: una incidencia crítica no llega al supervisor.</t>
  </si>
</sst>
</file>

<file path=xl/styles.xml><?xml version="1.0" encoding="utf-8"?>
<styleSheet xmlns="http://schemas.openxmlformats.org/spreadsheetml/2006/main">
  <numFmts count="3">
    <numFmt numFmtId="164" formatCode="General"/>
    <numFmt numFmtId="165" formatCode="General"/>
    <numFmt numFmtId="166" formatCode="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sz val="10"/>
      <name val="Arial"/>
      <family val="0"/>
      <charset val="1"/>
    </font>
    <font>
      <b val="true"/>
      <sz val="10"/>
      <name val="Arial"/>
      <family val="0"/>
      <charset val="1"/>
    </font>
    <font>
      <b val="true"/>
      <sz val="10"/>
      <color rgb="FF1F3864"/>
      <name val="Arial"/>
      <family val="0"/>
      <charset val="1"/>
    </font>
    <font>
      <b val="true"/>
      <sz val="10"/>
      <color rgb="FFFFFFFF"/>
      <name val="Arial"/>
      <family val="0"/>
      <charset val="1"/>
    </font>
    <font>
      <b val="true"/>
      <sz val="12"/>
      <color rgb="FF1F3864"/>
      <name val="Arial"/>
      <family val="0"/>
      <charset val="1"/>
    </font>
    <font>
      <i val="true"/>
      <sz val="9"/>
      <color rgb="FF595959"/>
      <name val="Arial"/>
      <family val="0"/>
      <charset val="1"/>
    </font>
    <font>
      <sz val="10"/>
      <color rgb="FF0000FF"/>
      <name val="Arial"/>
      <family val="0"/>
      <charset val="1"/>
    </font>
    <font>
      <i val="true"/>
      <sz val="9"/>
      <color rgb="FF808080"/>
      <name val="Arial"/>
      <family val="0"/>
      <charset val="1"/>
    </font>
    <font>
      <sz val="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top" textRotation="0" wrapText="true" indent="0" shrinkToFit="false"/>
      <protection locked="true" hidden="false"/>
    </xf>
    <xf numFmtId="166" fontId="7" fillId="0" borderId="0" xfId="0" applyFont="true" applyBorder="false" applyAlignment="true" applyProtection="false">
      <alignment horizontal="center"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C7CE"/>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FFF2CC"/>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808080"/>
          <bgColor rgb="FF000000"/>
        </patternFill>
      </fill>
    </dxf>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23.25" hidden="false" customHeight="true" outlineLevel="0" collapsed="false">
      <c r="A5" s="4" t="s">
        <v>3</v>
      </c>
    </row>
    <row r="6" customFormat="false" ht="15" hidden="false" customHeight="true" outlineLevel="0" collapsed="false">
      <c r="A6" s="4"/>
    </row>
    <row r="7" customFormat="false" ht="15" hidden="false" customHeight="true" outlineLevel="0" collapsed="false">
      <c r="A7" s="5" t="s">
        <v>4</v>
      </c>
    </row>
    <row r="8" customFormat="false" ht="23.25" hidden="false" customHeight="true" outlineLevel="0" collapsed="false">
      <c r="A8" s="4" t="s">
        <v>5</v>
      </c>
    </row>
    <row r="9" customFormat="false" ht="23.25" hidden="false" customHeight="true" outlineLevel="0" collapsed="false">
      <c r="A9" s="4" t="s">
        <v>6</v>
      </c>
    </row>
    <row r="10" customFormat="false" ht="15" hidden="false" customHeight="true" outlineLevel="0" collapsed="false">
      <c r="A10" s="4"/>
    </row>
    <row r="11" customFormat="false" ht="15" hidden="false" customHeight="true" outlineLevel="0" collapsed="false">
      <c r="A11" s="5" t="s">
        <v>7</v>
      </c>
    </row>
    <row r="12" customFormat="false" ht="15" hidden="false" customHeight="true" outlineLevel="0" collapsed="false">
      <c r="A12" s="4" t="s">
        <v>8</v>
      </c>
    </row>
    <row r="13" customFormat="false" ht="15" hidden="false" customHeight="true" outlineLevel="0" collapsed="false">
      <c r="A13" s="4" t="s">
        <v>9</v>
      </c>
    </row>
    <row r="14" customFormat="false" ht="15" hidden="false" customHeight="true" outlineLevel="0" collapsed="false">
      <c r="A14" s="4" t="s">
        <v>10</v>
      </c>
    </row>
    <row r="15" customFormat="false" ht="15" hidden="false" customHeight="true" outlineLevel="0" collapsed="false">
      <c r="A15" s="4"/>
    </row>
    <row r="16" customFormat="false" ht="15" hidden="false" customHeight="true" outlineLevel="0" collapsed="false">
      <c r="A16" s="5" t="s">
        <v>11</v>
      </c>
    </row>
    <row r="17" customFormat="false" ht="15" hidden="false" customHeight="true" outlineLevel="0" collapsed="false">
      <c r="A17" s="4" t="s">
        <v>12</v>
      </c>
    </row>
    <row r="18" customFormat="false" ht="15" hidden="false" customHeight="true" outlineLevel="0" collapsed="false">
      <c r="A18" s="4" t="s">
        <v>13</v>
      </c>
    </row>
    <row r="20" customFormat="false" ht="23.85" hidden="false" customHeight="false" outlineLevel="0" collapsed="false">
      <c r="A20" s="6"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13"/>
    <col collapsed="false" customWidth="true" hidden="false" outlineLevel="0" max="4" min="4" style="0" width="12"/>
    <col collapsed="false" customWidth="true" hidden="false" outlineLevel="0" max="5" min="5" style="0" width="16"/>
    <col collapsed="false" customWidth="true" hidden="false" outlineLevel="0" max="6" min="6" style="0" width="10"/>
    <col collapsed="false" customWidth="true" hidden="false" outlineLevel="0" max="7" min="7" style="0" width="13"/>
    <col collapsed="false" customWidth="true" hidden="false" outlineLevel="0" max="8" min="8" style="0" width="11"/>
    <col collapsed="false" customWidth="true" hidden="false" outlineLevel="0" max="9" min="9" style="0" width="12"/>
    <col collapsed="false" customWidth="true" hidden="false" outlineLevel="0" max="10" min="10" style="0" width="10"/>
    <col collapsed="false" customWidth="true" hidden="false" outlineLevel="0" max="11" min="11" style="0" width="13"/>
    <col collapsed="false" customWidth="true" hidden="false" outlineLevel="0" max="13" min="12" style="0" width="11"/>
    <col collapsed="false" customWidth="true" hidden="false" outlineLevel="0" max="14" min="14" style="0" width="10"/>
    <col collapsed="false" customWidth="true" hidden="false" outlineLevel="0" max="16" min="15" style="0" width="12"/>
    <col collapsed="false" customWidth="true" hidden="false" outlineLevel="0" max="17" min="17" style="0" width="14"/>
  </cols>
  <sheetData>
    <row r="1" customFormat="false" ht="30" hidden="false" customHeight="true" outlineLevel="0" collapsed="false">
      <c r="A1" s="7" t="s">
        <v>15</v>
      </c>
      <c r="B1" s="7" t="s">
        <v>16</v>
      </c>
      <c r="C1" s="7" t="s">
        <v>17</v>
      </c>
      <c r="D1" s="7" t="s">
        <v>18</v>
      </c>
      <c r="E1" s="7" t="s">
        <v>19</v>
      </c>
      <c r="F1" s="7" t="s">
        <v>20</v>
      </c>
      <c r="G1" s="7" t="s">
        <v>21</v>
      </c>
      <c r="H1" s="7" t="s">
        <v>22</v>
      </c>
      <c r="I1" s="7" t="s">
        <v>23</v>
      </c>
      <c r="J1" s="7" t="s">
        <v>24</v>
      </c>
      <c r="K1" s="7" t="s">
        <v>25</v>
      </c>
      <c r="L1" s="7" t="s">
        <v>26</v>
      </c>
      <c r="M1" s="7" t="s">
        <v>27</v>
      </c>
      <c r="N1" s="7" t="s">
        <v>28</v>
      </c>
      <c r="O1" s="7" t="s">
        <v>29</v>
      </c>
      <c r="P1" s="7" t="s">
        <v>30</v>
      </c>
      <c r="Q1" s="7" t="s">
        <v>31</v>
      </c>
    </row>
    <row r="2" customFormat="false" ht="15" hidden="false" customHeight="false" outlineLevel="0" collapsed="false">
      <c r="A2" s="8" t="str">
        <f aca="false">Casos!A2</f>
        <v>EV-01</v>
      </c>
      <c r="B2" s="8" t="str">
        <f aca="false">Casos!B2</f>
        <v>Clara</v>
      </c>
      <c r="C2" s="8" t="str">
        <f aca="false">Casos!D2</f>
        <v>Avería</v>
      </c>
      <c r="D2" s="8" t="str">
        <f aca="false">Casos!E2</f>
        <v>Alta</v>
      </c>
      <c r="E2" s="8" t="n">
        <f aca="false">Casos!G2</f>
        <v>0</v>
      </c>
      <c r="F2" s="8" t="s">
        <v>32</v>
      </c>
      <c r="G2" s="8" t="s">
        <v>33</v>
      </c>
      <c r="H2" s="8" t="s">
        <v>34</v>
      </c>
      <c r="I2" s="9" t="n">
        <f aca="false">IF(OR(AND(G2=C2,H2=D2),G2&amp;" / "&amp;H2=E2),1,0)</f>
        <v>1</v>
      </c>
      <c r="J2" s="8" t="s">
        <v>35</v>
      </c>
      <c r="K2" s="8" t="s">
        <v>33</v>
      </c>
      <c r="L2" s="8" t="s">
        <v>34</v>
      </c>
      <c r="M2" s="8" t="s">
        <v>36</v>
      </c>
      <c r="N2" s="8" t="s">
        <v>37</v>
      </c>
      <c r="O2" s="9" t="n">
        <f aca="false">IF(OR(AND(K2=C2,L2=D2),K2&amp;" / "&amp;L2=E2),1,0)</f>
        <v>1</v>
      </c>
      <c r="P2" s="9" t="n">
        <f aca="false">IF(OR(AND(L2="Alta",M2="Escalada",N2="Sí"),AND(L2&lt;&gt;"Alta",M2="Abierta",N2="No")),1,0)</f>
        <v>1</v>
      </c>
      <c r="Q2" s="8" t="str">
        <f aca="false">IF(I2=O2,"=",IF(O2&gt;I2,"Corregido","Empeora"))</f>
        <v>=</v>
      </c>
    </row>
    <row r="3" customFormat="false" ht="15" hidden="false" customHeight="false" outlineLevel="0" collapsed="false">
      <c r="A3" s="8" t="str">
        <f aca="false">Casos!A3</f>
        <v>EV-02</v>
      </c>
      <c r="B3" s="8" t="str">
        <f aca="false">Casos!B3</f>
        <v>Clara</v>
      </c>
      <c r="C3" s="8" t="str">
        <f aca="false">Casos!D3</f>
        <v>Avería</v>
      </c>
      <c r="D3" s="8" t="str">
        <f aca="false">Casos!E3</f>
        <v>Alta</v>
      </c>
      <c r="E3" s="8" t="n">
        <f aca="false">Casos!G3</f>
        <v>0</v>
      </c>
      <c r="F3" s="8" t="s">
        <v>38</v>
      </c>
      <c r="G3" s="8" t="s">
        <v>33</v>
      </c>
      <c r="H3" s="8" t="s">
        <v>34</v>
      </c>
      <c r="I3" s="9" t="n">
        <f aca="false">IF(OR(AND(G3=C3,H3=D3),G3&amp;" / "&amp;H3=E3),1,0)</f>
        <v>1</v>
      </c>
      <c r="J3" s="8" t="s">
        <v>39</v>
      </c>
      <c r="K3" s="8" t="s">
        <v>33</v>
      </c>
      <c r="L3" s="8" t="s">
        <v>34</v>
      </c>
      <c r="M3" s="8" t="s">
        <v>36</v>
      </c>
      <c r="N3" s="8" t="s">
        <v>37</v>
      </c>
      <c r="O3" s="9" t="n">
        <f aca="false">IF(OR(AND(K3=C3,L3=D3),K3&amp;" / "&amp;L3=E3),1,0)</f>
        <v>1</v>
      </c>
      <c r="P3" s="9" t="n">
        <f aca="false">IF(OR(AND(L3="Alta",M3="Escalada",N3="Sí"),AND(L3&lt;&gt;"Alta",M3="Abierta",N3="No")),1,0)</f>
        <v>1</v>
      </c>
      <c r="Q3" s="8" t="str">
        <f aca="false">IF(I3=O3,"=",IF(O3&gt;I3,"Corregido","Empeora"))</f>
        <v>=</v>
      </c>
    </row>
    <row r="4" customFormat="false" ht="15" hidden="false" customHeight="false" outlineLevel="0" collapsed="false">
      <c r="A4" s="8" t="str">
        <f aca="false">Casos!A4</f>
        <v>EV-03</v>
      </c>
      <c r="B4" s="8" t="str">
        <f aca="false">Casos!B4</f>
        <v>Clara</v>
      </c>
      <c r="C4" s="8" t="str">
        <f aca="false">Casos!D4</f>
        <v>Avería</v>
      </c>
      <c r="D4" s="8" t="str">
        <f aca="false">Casos!E4</f>
        <v>Alta</v>
      </c>
      <c r="E4" s="8" t="n">
        <f aca="false">Casos!G4</f>
        <v>0</v>
      </c>
      <c r="F4" s="8" t="s">
        <v>40</v>
      </c>
      <c r="G4" s="8" t="s">
        <v>33</v>
      </c>
      <c r="H4" s="8" t="s">
        <v>34</v>
      </c>
      <c r="I4" s="9" t="n">
        <f aca="false">IF(OR(AND(G4=C4,H4=D4),G4&amp;" / "&amp;H4=E4),1,0)</f>
        <v>1</v>
      </c>
      <c r="J4" s="8" t="s">
        <v>41</v>
      </c>
      <c r="K4" s="8" t="s">
        <v>33</v>
      </c>
      <c r="L4" s="8" t="s">
        <v>34</v>
      </c>
      <c r="M4" s="8" t="s">
        <v>36</v>
      </c>
      <c r="N4" s="8" t="s">
        <v>37</v>
      </c>
      <c r="O4" s="9" t="n">
        <f aca="false">IF(OR(AND(K4=C4,L4=D4),K4&amp;" / "&amp;L4=E4),1,0)</f>
        <v>1</v>
      </c>
      <c r="P4" s="9" t="n">
        <f aca="false">IF(OR(AND(L4="Alta",M4="Escalada",N4="Sí"),AND(L4&lt;&gt;"Alta",M4="Abierta",N4="No")),1,0)</f>
        <v>1</v>
      </c>
      <c r="Q4" s="8" t="str">
        <f aca="false">IF(I4=O4,"=",IF(O4&gt;I4,"Corregido","Empeora"))</f>
        <v>=</v>
      </c>
    </row>
    <row r="5" customFormat="false" ht="15" hidden="false" customHeight="false" outlineLevel="0" collapsed="false">
      <c r="A5" s="8" t="str">
        <f aca="false">Casos!A5</f>
        <v>EV-04</v>
      </c>
      <c r="B5" s="8" t="str">
        <f aca="false">Casos!B5</f>
        <v>Clara</v>
      </c>
      <c r="C5" s="8" t="str">
        <f aca="false">Casos!D5</f>
        <v>Avería</v>
      </c>
      <c r="D5" s="8" t="str">
        <f aca="false">Casos!E5</f>
        <v>Media</v>
      </c>
      <c r="E5" s="8" t="n">
        <f aca="false">Casos!G5</f>
        <v>0</v>
      </c>
      <c r="F5" s="8" t="s">
        <v>42</v>
      </c>
      <c r="G5" s="8" t="s">
        <v>33</v>
      </c>
      <c r="H5" s="8" t="s">
        <v>43</v>
      </c>
      <c r="I5" s="9" t="n">
        <f aca="false">IF(OR(AND(G5=C5,H5=D5),G5&amp;" / "&amp;H5=E5),1,0)</f>
        <v>1</v>
      </c>
      <c r="J5" s="8" t="s">
        <v>44</v>
      </c>
      <c r="K5" s="8" t="s">
        <v>33</v>
      </c>
      <c r="L5" s="8" t="s">
        <v>43</v>
      </c>
      <c r="M5" s="8" t="s">
        <v>45</v>
      </c>
      <c r="N5" s="8" t="s">
        <v>46</v>
      </c>
      <c r="O5" s="9" t="n">
        <f aca="false">IF(OR(AND(K5=C5,L5=D5),K5&amp;" / "&amp;L5=E5),1,0)</f>
        <v>1</v>
      </c>
      <c r="P5" s="9" t="n">
        <f aca="false">IF(OR(AND(L5="Alta",M5="Escalada",N5="Sí"),AND(L5&lt;&gt;"Alta",M5="Abierta",N5="No")),1,0)</f>
        <v>1</v>
      </c>
      <c r="Q5" s="8" t="str">
        <f aca="false">IF(I5=O5,"=",IF(O5&gt;I5,"Corregido","Empeora"))</f>
        <v>=</v>
      </c>
    </row>
    <row r="6" customFormat="false" ht="15" hidden="false" customHeight="false" outlineLevel="0" collapsed="false">
      <c r="A6" s="8" t="str">
        <f aca="false">Casos!A6</f>
        <v>EV-05</v>
      </c>
      <c r="B6" s="8" t="str">
        <f aca="false">Casos!B6</f>
        <v>Clara</v>
      </c>
      <c r="C6" s="8" t="str">
        <f aca="false">Casos!D6</f>
        <v>Avería</v>
      </c>
      <c r="D6" s="8" t="str">
        <f aca="false">Casos!E6</f>
        <v>Media</v>
      </c>
      <c r="E6" s="8" t="n">
        <f aca="false">Casos!G6</f>
        <v>0</v>
      </c>
      <c r="F6" s="8" t="s">
        <v>47</v>
      </c>
      <c r="G6" s="8" t="s">
        <v>33</v>
      </c>
      <c r="H6" s="8" t="s">
        <v>43</v>
      </c>
      <c r="I6" s="9" t="n">
        <f aca="false">IF(OR(AND(G6=C6,H6=D6),G6&amp;" / "&amp;H6=E6),1,0)</f>
        <v>1</v>
      </c>
      <c r="J6" s="8" t="s">
        <v>48</v>
      </c>
      <c r="K6" s="8" t="s">
        <v>33</v>
      </c>
      <c r="L6" s="8" t="s">
        <v>43</v>
      </c>
      <c r="M6" s="8" t="s">
        <v>45</v>
      </c>
      <c r="N6" s="8" t="s">
        <v>46</v>
      </c>
      <c r="O6" s="9" t="n">
        <f aca="false">IF(OR(AND(K6=C6,L6=D6),K6&amp;" / "&amp;L6=E6),1,0)</f>
        <v>1</v>
      </c>
      <c r="P6" s="9" t="n">
        <f aca="false">IF(OR(AND(L6="Alta",M6="Escalada",N6="Sí"),AND(L6&lt;&gt;"Alta",M6="Abierta",N6="No")),1,0)</f>
        <v>1</v>
      </c>
      <c r="Q6" s="8" t="str">
        <f aca="false">IF(I6=O6,"=",IF(O6&gt;I6,"Corregido","Empeora"))</f>
        <v>=</v>
      </c>
    </row>
    <row r="7" customFormat="false" ht="15" hidden="false" customHeight="false" outlineLevel="0" collapsed="false">
      <c r="A7" s="8" t="str">
        <f aca="false">Casos!A7</f>
        <v>EV-06</v>
      </c>
      <c r="B7" s="8" t="str">
        <f aca="false">Casos!B7</f>
        <v>Clara</v>
      </c>
      <c r="C7" s="8" t="str">
        <f aca="false">Casos!D7</f>
        <v>Avería</v>
      </c>
      <c r="D7" s="8" t="str">
        <f aca="false">Casos!E7</f>
        <v>Media</v>
      </c>
      <c r="E7" s="8" t="n">
        <f aca="false">Casos!G7</f>
        <v>0</v>
      </c>
      <c r="F7" s="8" t="s">
        <v>49</v>
      </c>
      <c r="G7" s="8" t="s">
        <v>33</v>
      </c>
      <c r="H7" s="8" t="s">
        <v>43</v>
      </c>
      <c r="I7" s="9" t="n">
        <f aca="false">IF(OR(AND(G7=C7,H7=D7),G7&amp;" / "&amp;H7=E7),1,0)</f>
        <v>1</v>
      </c>
      <c r="J7" s="8" t="s">
        <v>50</v>
      </c>
      <c r="K7" s="8" t="s">
        <v>33</v>
      </c>
      <c r="L7" s="8" t="s">
        <v>43</v>
      </c>
      <c r="M7" s="8" t="s">
        <v>45</v>
      </c>
      <c r="N7" s="8" t="s">
        <v>46</v>
      </c>
      <c r="O7" s="9" t="n">
        <f aca="false">IF(OR(AND(K7=C7,L7=D7),K7&amp;" / "&amp;L7=E7),1,0)</f>
        <v>1</v>
      </c>
      <c r="P7" s="9" t="n">
        <f aca="false">IF(OR(AND(L7="Alta",M7="Escalada",N7="Sí"),AND(L7&lt;&gt;"Alta",M7="Abierta",N7="No")),1,0)</f>
        <v>1</v>
      </c>
      <c r="Q7" s="8" t="str">
        <f aca="false">IF(I7=O7,"=",IF(O7&gt;I7,"Corregido","Empeora"))</f>
        <v>=</v>
      </c>
    </row>
    <row r="8" customFormat="false" ht="15" hidden="false" customHeight="false" outlineLevel="0" collapsed="false">
      <c r="A8" s="8" t="str">
        <f aca="false">Casos!A8</f>
        <v>EV-07</v>
      </c>
      <c r="B8" s="8" t="str">
        <f aca="false">Casos!B8</f>
        <v>Clara</v>
      </c>
      <c r="C8" s="8" t="str">
        <f aca="false">Casos!D8</f>
        <v>Avería</v>
      </c>
      <c r="D8" s="8" t="str">
        <f aca="false">Casos!E8</f>
        <v>Baja</v>
      </c>
      <c r="E8" s="8" t="n">
        <f aca="false">Casos!G8</f>
        <v>0</v>
      </c>
      <c r="F8" s="8" t="s">
        <v>51</v>
      </c>
      <c r="G8" s="8" t="s">
        <v>33</v>
      </c>
      <c r="H8" s="8" t="s">
        <v>52</v>
      </c>
      <c r="I8" s="9" t="n">
        <f aca="false">IF(OR(AND(G8=C8,H8=D8),G8&amp;" / "&amp;H8=E8),1,0)</f>
        <v>1</v>
      </c>
      <c r="J8" s="8" t="s">
        <v>53</v>
      </c>
      <c r="K8" s="8" t="s">
        <v>33</v>
      </c>
      <c r="L8" s="8" t="s">
        <v>52</v>
      </c>
      <c r="M8" s="8" t="s">
        <v>45</v>
      </c>
      <c r="N8" s="8" t="s">
        <v>46</v>
      </c>
      <c r="O8" s="9" t="n">
        <f aca="false">IF(OR(AND(K8=C8,L8=D8),K8&amp;" / "&amp;L8=E8),1,0)</f>
        <v>1</v>
      </c>
      <c r="P8" s="9" t="n">
        <f aca="false">IF(OR(AND(L8="Alta",M8="Escalada",N8="Sí"),AND(L8&lt;&gt;"Alta",M8="Abierta",N8="No")),1,0)</f>
        <v>1</v>
      </c>
      <c r="Q8" s="8" t="str">
        <f aca="false">IF(I8=O8,"=",IF(O8&gt;I8,"Corregido","Empeora"))</f>
        <v>=</v>
      </c>
    </row>
    <row r="9" customFormat="false" ht="15" hidden="false" customHeight="false" outlineLevel="0" collapsed="false">
      <c r="A9" s="8" t="str">
        <f aca="false">Casos!A9</f>
        <v>EV-08</v>
      </c>
      <c r="B9" s="8" t="str">
        <f aca="false">Casos!B9</f>
        <v>Clara</v>
      </c>
      <c r="C9" s="8" t="str">
        <f aca="false">Casos!D9</f>
        <v>Avería</v>
      </c>
      <c r="D9" s="8" t="str">
        <f aca="false">Casos!E9</f>
        <v>Baja</v>
      </c>
      <c r="E9" s="8" t="n">
        <f aca="false">Casos!G9</f>
        <v>0</v>
      </c>
      <c r="F9" s="8" t="s">
        <v>54</v>
      </c>
      <c r="G9" s="8" t="s">
        <v>33</v>
      </c>
      <c r="H9" s="8" t="s">
        <v>52</v>
      </c>
      <c r="I9" s="9" t="n">
        <f aca="false">IF(OR(AND(G9=C9,H9=D9),G9&amp;" / "&amp;H9=E9),1,0)</f>
        <v>1</v>
      </c>
      <c r="J9" s="8" t="s">
        <v>55</v>
      </c>
      <c r="K9" s="8" t="s">
        <v>33</v>
      </c>
      <c r="L9" s="8" t="s">
        <v>52</v>
      </c>
      <c r="M9" s="8" t="s">
        <v>45</v>
      </c>
      <c r="N9" s="8" t="s">
        <v>46</v>
      </c>
      <c r="O9" s="9" t="n">
        <f aca="false">IF(OR(AND(K9=C9,L9=D9),K9&amp;" / "&amp;L9=E9),1,0)</f>
        <v>1</v>
      </c>
      <c r="P9" s="9" t="n">
        <f aca="false">IF(OR(AND(L9="Alta",M9="Escalada",N9="Sí"),AND(L9&lt;&gt;"Alta",M9="Abierta",N9="No")),1,0)</f>
        <v>1</v>
      </c>
      <c r="Q9" s="8" t="str">
        <f aca="false">IF(I9=O9,"=",IF(O9&gt;I9,"Corregido","Empeora"))</f>
        <v>=</v>
      </c>
    </row>
    <row r="10" customFormat="false" ht="15" hidden="false" customHeight="false" outlineLevel="0" collapsed="false">
      <c r="A10" s="8" t="str">
        <f aca="false">Casos!A10</f>
        <v>EV-09</v>
      </c>
      <c r="B10" s="8" t="str">
        <f aca="false">Casos!B10</f>
        <v>Clara</v>
      </c>
      <c r="C10" s="8" t="str">
        <f aca="false">Casos!D10</f>
        <v>Avería</v>
      </c>
      <c r="D10" s="8" t="str">
        <f aca="false">Casos!E10</f>
        <v>Baja</v>
      </c>
      <c r="E10" s="8" t="n">
        <f aca="false">Casos!G10</f>
        <v>0</v>
      </c>
      <c r="F10" s="8" t="s">
        <v>56</v>
      </c>
      <c r="G10" s="8" t="s">
        <v>33</v>
      </c>
      <c r="H10" s="8" t="s">
        <v>52</v>
      </c>
      <c r="I10" s="9" t="n">
        <f aca="false">IF(OR(AND(G10=C10,H10=D10),G10&amp;" / "&amp;H10=E10),1,0)</f>
        <v>1</v>
      </c>
      <c r="J10" s="8" t="s">
        <v>57</v>
      </c>
      <c r="K10" s="8" t="s">
        <v>33</v>
      </c>
      <c r="L10" s="8" t="s">
        <v>52</v>
      </c>
      <c r="M10" s="8" t="s">
        <v>45</v>
      </c>
      <c r="N10" s="8" t="s">
        <v>46</v>
      </c>
      <c r="O10" s="9" t="n">
        <f aca="false">IF(OR(AND(K10=C10,L10=D10),K10&amp;" / "&amp;L10=E10),1,0)</f>
        <v>1</v>
      </c>
      <c r="P10" s="9" t="n">
        <f aca="false">IF(OR(AND(L10="Alta",M10="Escalada",N10="Sí"),AND(L10&lt;&gt;"Alta",M10="Abierta",N10="No")),1,0)</f>
        <v>1</v>
      </c>
      <c r="Q10" s="8" t="str">
        <f aca="false">IF(I10=O10,"=",IF(O10&gt;I10,"Corregido","Empeora"))</f>
        <v>=</v>
      </c>
    </row>
    <row r="11" customFormat="false" ht="15" hidden="false" customHeight="false" outlineLevel="0" collapsed="false">
      <c r="A11" s="8" t="str">
        <f aca="false">Casos!A11</f>
        <v>EV-10</v>
      </c>
      <c r="B11" s="8" t="str">
        <f aca="false">Casos!B11</f>
        <v>Clara</v>
      </c>
      <c r="C11" s="8" t="str">
        <f aca="false">Casos!D11</f>
        <v>Avería</v>
      </c>
      <c r="D11" s="8" t="str">
        <f aca="false">Casos!E11</f>
        <v>Baja</v>
      </c>
      <c r="E11" s="8" t="n">
        <f aca="false">Casos!G11</f>
        <v>0</v>
      </c>
      <c r="F11" s="8" t="s">
        <v>58</v>
      </c>
      <c r="G11" s="8" t="s">
        <v>33</v>
      </c>
      <c r="H11" s="8" t="s">
        <v>52</v>
      </c>
      <c r="I11" s="9" t="n">
        <f aca="false">IF(OR(AND(G11=C11,H11=D11),G11&amp;" / "&amp;H11=E11),1,0)</f>
        <v>1</v>
      </c>
      <c r="J11" s="8" t="s">
        <v>59</v>
      </c>
      <c r="K11" s="8" t="s">
        <v>33</v>
      </c>
      <c r="L11" s="8" t="s">
        <v>52</v>
      </c>
      <c r="M11" s="8" t="s">
        <v>45</v>
      </c>
      <c r="N11" s="8" t="s">
        <v>46</v>
      </c>
      <c r="O11" s="9" t="n">
        <f aca="false">IF(OR(AND(K11=C11,L11=D11),K11&amp;" / "&amp;L11=E11),1,0)</f>
        <v>1</v>
      </c>
      <c r="P11" s="9" t="n">
        <f aca="false">IF(OR(AND(L11="Alta",M11="Escalada",N11="Sí"),AND(L11&lt;&gt;"Alta",M11="Abierta",N11="No")),1,0)</f>
        <v>1</v>
      </c>
      <c r="Q11" s="8" t="str">
        <f aca="false">IF(I11=O11,"=",IF(O11&gt;I11,"Corregido","Empeora"))</f>
        <v>=</v>
      </c>
    </row>
    <row r="12" customFormat="false" ht="15" hidden="false" customHeight="false" outlineLevel="0" collapsed="false">
      <c r="A12" s="8" t="str">
        <f aca="false">Casos!A12</f>
        <v>EV-11</v>
      </c>
      <c r="B12" s="8" t="str">
        <f aca="false">Casos!B12</f>
        <v>Frontera</v>
      </c>
      <c r="C12" s="8" t="str">
        <f aca="false">Casos!D12</f>
        <v>Avería</v>
      </c>
      <c r="D12" s="8" t="str">
        <f aca="false">Casos!E12</f>
        <v>Baja</v>
      </c>
      <c r="E12" s="8" t="n">
        <f aca="false">Casos!G12</f>
        <v>0</v>
      </c>
      <c r="F12" s="8" t="s">
        <v>60</v>
      </c>
      <c r="G12" s="8" t="s">
        <v>33</v>
      </c>
      <c r="H12" s="8" t="s">
        <v>52</v>
      </c>
      <c r="I12" s="9" t="n">
        <f aca="false">IF(OR(AND(G12=C12,H12=D12),G12&amp;" / "&amp;H12=E12),1,0)</f>
        <v>1</v>
      </c>
      <c r="J12" s="8" t="s">
        <v>61</v>
      </c>
      <c r="K12" s="8" t="s">
        <v>33</v>
      </c>
      <c r="L12" s="8" t="s">
        <v>52</v>
      </c>
      <c r="M12" s="8" t="s">
        <v>45</v>
      </c>
      <c r="N12" s="8" t="s">
        <v>46</v>
      </c>
      <c r="O12" s="9" t="n">
        <f aca="false">IF(OR(AND(K12=C12,L12=D12),K12&amp;" / "&amp;L12=E12),1,0)</f>
        <v>1</v>
      </c>
      <c r="P12" s="9" t="n">
        <f aca="false">IF(OR(AND(L12="Alta",M12="Escalada",N12="Sí"),AND(L12&lt;&gt;"Alta",M12="Abierta",N12="No")),1,0)</f>
        <v>1</v>
      </c>
      <c r="Q12" s="8" t="str">
        <f aca="false">IF(I12=O12,"=",IF(O12&gt;I12,"Corregido","Empeora"))</f>
        <v>=</v>
      </c>
    </row>
    <row r="13" customFormat="false" ht="15" hidden="false" customHeight="false" outlineLevel="0" collapsed="false">
      <c r="A13" s="8" t="str">
        <f aca="false">Casos!A13</f>
        <v>EV-12</v>
      </c>
      <c r="B13" s="8" t="str">
        <f aca="false">Casos!B13</f>
        <v>Frontera</v>
      </c>
      <c r="C13" s="8" t="str">
        <f aca="false">Casos!D13</f>
        <v>Avería</v>
      </c>
      <c r="D13" s="8" t="str">
        <f aca="false">Casos!E13</f>
        <v>Alta</v>
      </c>
      <c r="E13" s="8" t="n">
        <f aca="false">Casos!G13</f>
        <v>0</v>
      </c>
      <c r="F13" s="8" t="s">
        <v>62</v>
      </c>
      <c r="G13" s="8" t="s">
        <v>33</v>
      </c>
      <c r="H13" s="8" t="s">
        <v>43</v>
      </c>
      <c r="I13" s="9" t="n">
        <f aca="false">IF(OR(AND(G13=C13,H13=D13),G13&amp;" / "&amp;H13=E13),1,0)</f>
        <v>0</v>
      </c>
      <c r="J13" s="8" t="s">
        <v>63</v>
      </c>
      <c r="K13" s="8" t="s">
        <v>33</v>
      </c>
      <c r="L13" s="8" t="s">
        <v>34</v>
      </c>
      <c r="M13" s="8" t="s">
        <v>36</v>
      </c>
      <c r="N13" s="8" t="s">
        <v>37</v>
      </c>
      <c r="O13" s="9" t="n">
        <f aca="false">IF(OR(AND(K13=C13,L13=D13),K13&amp;" / "&amp;L13=E13),1,0)</f>
        <v>1</v>
      </c>
      <c r="P13" s="9" t="n">
        <f aca="false">IF(OR(AND(L13="Alta",M13="Escalada",N13="Sí"),AND(L13&lt;&gt;"Alta",M13="Abierta",N13="No")),1,0)</f>
        <v>1</v>
      </c>
      <c r="Q13" s="8" t="str">
        <f aca="false">IF(I13=O13,"=",IF(O13&gt;I13,"Corregido","Empeora"))</f>
        <v>Corregido</v>
      </c>
    </row>
    <row r="14" customFormat="false" ht="15" hidden="false" customHeight="false" outlineLevel="0" collapsed="false">
      <c r="A14" s="8" t="str">
        <f aca="false">Casos!A14</f>
        <v>EV-13</v>
      </c>
      <c r="B14" s="8" t="str">
        <f aca="false">Casos!B14</f>
        <v>Clara</v>
      </c>
      <c r="C14" s="8" t="str">
        <f aca="false">Casos!D14</f>
        <v>Reclamación</v>
      </c>
      <c r="D14" s="8" t="str">
        <f aca="false">Casos!E14</f>
        <v>Alta</v>
      </c>
      <c r="E14" s="8" t="n">
        <f aca="false">Casos!G14</f>
        <v>0</v>
      </c>
      <c r="F14" s="8" t="s">
        <v>64</v>
      </c>
      <c r="G14" s="8" t="s">
        <v>65</v>
      </c>
      <c r="H14" s="8" t="s">
        <v>34</v>
      </c>
      <c r="I14" s="9" t="n">
        <f aca="false">IF(OR(AND(G14=C14,H14=D14),G14&amp;" / "&amp;H14=E14),1,0)</f>
        <v>1</v>
      </c>
      <c r="J14" s="8" t="s">
        <v>66</v>
      </c>
      <c r="K14" s="8" t="s">
        <v>65</v>
      </c>
      <c r="L14" s="8" t="s">
        <v>34</v>
      </c>
      <c r="M14" s="8" t="s">
        <v>36</v>
      </c>
      <c r="N14" s="8" t="s">
        <v>37</v>
      </c>
      <c r="O14" s="9" t="n">
        <f aca="false">IF(OR(AND(K14=C14,L14=D14),K14&amp;" / "&amp;L14=E14),1,0)</f>
        <v>1</v>
      </c>
      <c r="P14" s="9" t="n">
        <f aca="false">IF(OR(AND(L14="Alta",M14="Escalada",N14="Sí"),AND(L14&lt;&gt;"Alta",M14="Abierta",N14="No")),1,0)</f>
        <v>1</v>
      </c>
      <c r="Q14" s="8" t="str">
        <f aca="false">IF(I14=O14,"=",IF(O14&gt;I14,"Corregido","Empeora"))</f>
        <v>=</v>
      </c>
    </row>
    <row r="15" customFormat="false" ht="15" hidden="false" customHeight="false" outlineLevel="0" collapsed="false">
      <c r="A15" s="8" t="str">
        <f aca="false">Casos!A15</f>
        <v>EV-14</v>
      </c>
      <c r="B15" s="8" t="str">
        <f aca="false">Casos!B15</f>
        <v>Clara</v>
      </c>
      <c r="C15" s="8" t="str">
        <f aca="false">Casos!D15</f>
        <v>Reclamación</v>
      </c>
      <c r="D15" s="8" t="str">
        <f aca="false">Casos!E15</f>
        <v>Alta</v>
      </c>
      <c r="E15" s="8" t="n">
        <f aca="false">Casos!G15</f>
        <v>0</v>
      </c>
      <c r="F15" s="8" t="s">
        <v>67</v>
      </c>
      <c r="G15" s="8" t="s">
        <v>65</v>
      </c>
      <c r="H15" s="8" t="s">
        <v>34</v>
      </c>
      <c r="I15" s="9" t="n">
        <f aca="false">IF(OR(AND(G15=C15,H15=D15),G15&amp;" / "&amp;H15=E15),1,0)</f>
        <v>1</v>
      </c>
      <c r="J15" s="8" t="s">
        <v>68</v>
      </c>
      <c r="K15" s="8" t="s">
        <v>65</v>
      </c>
      <c r="L15" s="8" t="s">
        <v>34</v>
      </c>
      <c r="M15" s="8" t="s">
        <v>36</v>
      </c>
      <c r="N15" s="8" t="s">
        <v>37</v>
      </c>
      <c r="O15" s="9" t="n">
        <f aca="false">IF(OR(AND(K15=C15,L15=D15),K15&amp;" / "&amp;L15=E15),1,0)</f>
        <v>1</v>
      </c>
      <c r="P15" s="9" t="n">
        <f aca="false">IF(OR(AND(L15="Alta",M15="Escalada",N15="Sí"),AND(L15&lt;&gt;"Alta",M15="Abierta",N15="No")),1,0)</f>
        <v>1</v>
      </c>
      <c r="Q15" s="8" t="str">
        <f aca="false">IF(I15=O15,"=",IF(O15&gt;I15,"Corregido","Empeora"))</f>
        <v>=</v>
      </c>
    </row>
    <row r="16" customFormat="false" ht="15" hidden="false" customHeight="false" outlineLevel="0" collapsed="false">
      <c r="A16" s="8" t="str">
        <f aca="false">Casos!A16</f>
        <v>EV-15</v>
      </c>
      <c r="B16" s="8" t="str">
        <f aca="false">Casos!B16</f>
        <v>Clara</v>
      </c>
      <c r="C16" s="8" t="str">
        <f aca="false">Casos!D16</f>
        <v>Reclamación</v>
      </c>
      <c r="D16" s="8" t="str">
        <f aca="false">Casos!E16</f>
        <v>Alta</v>
      </c>
      <c r="E16" s="8" t="n">
        <f aca="false">Casos!G16</f>
        <v>0</v>
      </c>
      <c r="F16" s="8" t="s">
        <v>69</v>
      </c>
      <c r="G16" s="8" t="s">
        <v>65</v>
      </c>
      <c r="H16" s="8" t="s">
        <v>34</v>
      </c>
      <c r="I16" s="9" t="n">
        <f aca="false">IF(OR(AND(G16=C16,H16=D16),G16&amp;" / "&amp;H16=E16),1,0)</f>
        <v>1</v>
      </c>
      <c r="J16" s="8" t="s">
        <v>70</v>
      </c>
      <c r="K16" s="8" t="s">
        <v>65</v>
      </c>
      <c r="L16" s="8" t="s">
        <v>34</v>
      </c>
      <c r="M16" s="8" t="s">
        <v>36</v>
      </c>
      <c r="N16" s="8" t="s">
        <v>37</v>
      </c>
      <c r="O16" s="9" t="n">
        <f aca="false">IF(OR(AND(K16=C16,L16=D16),K16&amp;" / "&amp;L16=E16),1,0)</f>
        <v>1</v>
      </c>
      <c r="P16" s="9" t="n">
        <f aca="false">IF(OR(AND(L16="Alta",M16="Escalada",N16="Sí"),AND(L16&lt;&gt;"Alta",M16="Abierta",N16="No")),1,0)</f>
        <v>1</v>
      </c>
      <c r="Q16" s="8" t="str">
        <f aca="false">IF(I16=O16,"=",IF(O16&gt;I16,"Corregido","Empeora"))</f>
        <v>=</v>
      </c>
    </row>
    <row r="17" customFormat="false" ht="15" hidden="false" customHeight="false" outlineLevel="0" collapsed="false">
      <c r="A17" s="8" t="str">
        <f aca="false">Casos!A17</f>
        <v>EV-16</v>
      </c>
      <c r="B17" s="8" t="str">
        <f aca="false">Casos!B17</f>
        <v>Clara</v>
      </c>
      <c r="C17" s="8" t="str">
        <f aca="false">Casos!D17</f>
        <v>Reclamación</v>
      </c>
      <c r="D17" s="8" t="str">
        <f aca="false">Casos!E17</f>
        <v>Media</v>
      </c>
      <c r="E17" s="8" t="n">
        <f aca="false">Casos!G17</f>
        <v>0</v>
      </c>
      <c r="F17" s="8" t="s">
        <v>71</v>
      </c>
      <c r="G17" s="8" t="s">
        <v>65</v>
      </c>
      <c r="H17" s="8" t="s">
        <v>43</v>
      </c>
      <c r="I17" s="9" t="n">
        <f aca="false">IF(OR(AND(G17=C17,H17=D17),G17&amp;" / "&amp;H17=E17),1,0)</f>
        <v>1</v>
      </c>
      <c r="J17" s="8" t="s">
        <v>72</v>
      </c>
      <c r="K17" s="8" t="s">
        <v>65</v>
      </c>
      <c r="L17" s="8" t="s">
        <v>43</v>
      </c>
      <c r="M17" s="8" t="s">
        <v>45</v>
      </c>
      <c r="N17" s="8" t="s">
        <v>46</v>
      </c>
      <c r="O17" s="9" t="n">
        <f aca="false">IF(OR(AND(K17=C17,L17=D17),K17&amp;" / "&amp;L17=E17),1,0)</f>
        <v>1</v>
      </c>
      <c r="P17" s="9" t="n">
        <f aca="false">IF(OR(AND(L17="Alta",M17="Escalada",N17="Sí"),AND(L17&lt;&gt;"Alta",M17="Abierta",N17="No")),1,0)</f>
        <v>1</v>
      </c>
      <c r="Q17" s="8" t="str">
        <f aca="false">IF(I17=O17,"=",IF(O17&gt;I17,"Corregido","Empeora"))</f>
        <v>=</v>
      </c>
    </row>
    <row r="18" customFormat="false" ht="15" hidden="false" customHeight="false" outlineLevel="0" collapsed="false">
      <c r="A18" s="8" t="str">
        <f aca="false">Casos!A18</f>
        <v>EV-17</v>
      </c>
      <c r="B18" s="8" t="str">
        <f aca="false">Casos!B18</f>
        <v>Clara</v>
      </c>
      <c r="C18" s="8" t="str">
        <f aca="false">Casos!D18</f>
        <v>Reclamación</v>
      </c>
      <c r="D18" s="8" t="str">
        <f aca="false">Casos!E18</f>
        <v>Media</v>
      </c>
      <c r="E18" s="8" t="n">
        <f aca="false">Casos!G18</f>
        <v>0</v>
      </c>
      <c r="F18" s="8" t="s">
        <v>73</v>
      </c>
      <c r="G18" s="8" t="s">
        <v>65</v>
      </c>
      <c r="H18" s="8" t="s">
        <v>52</v>
      </c>
      <c r="I18" s="9" t="n">
        <f aca="false">IF(OR(AND(G18=C18,H18=D18),G18&amp;" / "&amp;H18=E18),1,0)</f>
        <v>0</v>
      </c>
      <c r="J18" s="8" t="s">
        <v>74</v>
      </c>
      <c r="K18" s="8" t="s">
        <v>65</v>
      </c>
      <c r="L18" s="8" t="s">
        <v>43</v>
      </c>
      <c r="M18" s="8" t="s">
        <v>45</v>
      </c>
      <c r="N18" s="8" t="s">
        <v>46</v>
      </c>
      <c r="O18" s="9" t="n">
        <f aca="false">IF(OR(AND(K18=C18,L18=D18),K18&amp;" / "&amp;L18=E18),1,0)</f>
        <v>1</v>
      </c>
      <c r="P18" s="9" t="n">
        <f aca="false">IF(OR(AND(L18="Alta",M18="Escalada",N18="Sí"),AND(L18&lt;&gt;"Alta",M18="Abierta",N18="No")),1,0)</f>
        <v>1</v>
      </c>
      <c r="Q18" s="8" t="str">
        <f aca="false">IF(I18=O18,"=",IF(O18&gt;I18,"Corregido","Empeora"))</f>
        <v>Corregido</v>
      </c>
    </row>
    <row r="19" customFormat="false" ht="15" hidden="false" customHeight="false" outlineLevel="0" collapsed="false">
      <c r="A19" s="8" t="str">
        <f aca="false">Casos!A19</f>
        <v>EV-18</v>
      </c>
      <c r="B19" s="8" t="str">
        <f aca="false">Casos!B19</f>
        <v>Clara</v>
      </c>
      <c r="C19" s="8" t="str">
        <f aca="false">Casos!D19</f>
        <v>Reclamación</v>
      </c>
      <c r="D19" s="8" t="str">
        <f aca="false">Casos!E19</f>
        <v>Baja</v>
      </c>
      <c r="E19" s="8" t="n">
        <f aca="false">Casos!G19</f>
        <v>0</v>
      </c>
      <c r="F19" s="8" t="s">
        <v>75</v>
      </c>
      <c r="G19" s="8" t="s">
        <v>65</v>
      </c>
      <c r="H19" s="8" t="s">
        <v>52</v>
      </c>
      <c r="I19" s="9" t="n">
        <f aca="false">IF(OR(AND(G19=C19,H19=D19),G19&amp;" / "&amp;H19=E19),1,0)</f>
        <v>1</v>
      </c>
      <c r="J19" s="8" t="s">
        <v>76</v>
      </c>
      <c r="K19" s="8" t="s">
        <v>65</v>
      </c>
      <c r="L19" s="8" t="s">
        <v>52</v>
      </c>
      <c r="M19" s="8" t="s">
        <v>45</v>
      </c>
      <c r="N19" s="8" t="s">
        <v>46</v>
      </c>
      <c r="O19" s="9" t="n">
        <f aca="false">IF(OR(AND(K19=C19,L19=D19),K19&amp;" / "&amp;L19=E19),1,0)</f>
        <v>1</v>
      </c>
      <c r="P19" s="9" t="n">
        <f aca="false">IF(OR(AND(L19="Alta",M19="Escalada",N19="Sí"),AND(L19&lt;&gt;"Alta",M19="Abierta",N19="No")),1,0)</f>
        <v>1</v>
      </c>
      <c r="Q19" s="8" t="str">
        <f aca="false">IF(I19=O19,"=",IF(O19&gt;I19,"Corregido","Empeora"))</f>
        <v>=</v>
      </c>
    </row>
    <row r="20" customFormat="false" ht="15" hidden="false" customHeight="false" outlineLevel="0" collapsed="false">
      <c r="A20" s="8" t="str">
        <f aca="false">Casos!A20</f>
        <v>EV-19</v>
      </c>
      <c r="B20" s="8" t="str">
        <f aca="false">Casos!B20</f>
        <v>Clara</v>
      </c>
      <c r="C20" s="8" t="str">
        <f aca="false">Casos!D20</f>
        <v>Reclamación</v>
      </c>
      <c r="D20" s="8" t="str">
        <f aca="false">Casos!E20</f>
        <v>Baja</v>
      </c>
      <c r="E20" s="8" t="n">
        <f aca="false">Casos!G20</f>
        <v>0</v>
      </c>
      <c r="F20" s="8" t="s">
        <v>77</v>
      </c>
      <c r="G20" s="8" t="s">
        <v>65</v>
      </c>
      <c r="H20" s="8" t="s">
        <v>52</v>
      </c>
      <c r="I20" s="9" t="n">
        <f aca="false">IF(OR(AND(G20=C20,H20=D20),G20&amp;" / "&amp;H20=E20),1,0)</f>
        <v>1</v>
      </c>
      <c r="J20" s="8" t="s">
        <v>78</v>
      </c>
      <c r="K20" s="8" t="s">
        <v>65</v>
      </c>
      <c r="L20" s="8" t="s">
        <v>52</v>
      </c>
      <c r="M20" s="8" t="s">
        <v>45</v>
      </c>
      <c r="N20" s="8" t="s">
        <v>46</v>
      </c>
      <c r="O20" s="9" t="n">
        <f aca="false">IF(OR(AND(K20=C20,L20=D20),K20&amp;" / "&amp;L20=E20),1,0)</f>
        <v>1</v>
      </c>
      <c r="P20" s="9" t="n">
        <f aca="false">IF(OR(AND(L20="Alta",M20="Escalada",N20="Sí"),AND(L20&lt;&gt;"Alta",M20="Abierta",N20="No")),1,0)</f>
        <v>1</v>
      </c>
      <c r="Q20" s="8" t="str">
        <f aca="false">IF(I20=O20,"=",IF(O20&gt;I20,"Corregido","Empeora"))</f>
        <v>=</v>
      </c>
    </row>
    <row r="21" customFormat="false" ht="23.85" hidden="false" customHeight="false" outlineLevel="0" collapsed="false">
      <c r="A21" s="8" t="str">
        <f aca="false">Casos!A21</f>
        <v>EV-20</v>
      </c>
      <c r="B21" s="8" t="str">
        <f aca="false">Casos!B21</f>
        <v>Frontera</v>
      </c>
      <c r="C21" s="8" t="str">
        <f aca="false">Casos!D21</f>
        <v>Reclamación</v>
      </c>
      <c r="D21" s="8" t="str">
        <f aca="false">Casos!E21</f>
        <v>Alta</v>
      </c>
      <c r="E21" s="8" t="str">
        <f aca="false">Casos!G21</f>
        <v>Reclamación / Media</v>
      </c>
      <c r="F21" s="8" t="s">
        <v>79</v>
      </c>
      <c r="G21" s="8" t="s">
        <v>65</v>
      </c>
      <c r="H21" s="8" t="s">
        <v>34</v>
      </c>
      <c r="I21" s="9" t="n">
        <f aca="false">IF(OR(AND(G21=C21,H21=D21),G21&amp;" / "&amp;H21=E21),1,0)</f>
        <v>1</v>
      </c>
      <c r="J21" s="8" t="s">
        <v>80</v>
      </c>
      <c r="K21" s="8" t="s">
        <v>65</v>
      </c>
      <c r="L21" s="8" t="s">
        <v>34</v>
      </c>
      <c r="M21" s="8" t="s">
        <v>36</v>
      </c>
      <c r="N21" s="8" t="s">
        <v>37</v>
      </c>
      <c r="O21" s="9" t="n">
        <f aca="false">IF(OR(AND(K21=C21,L21=D21),K21&amp;" / "&amp;L21=E21),1,0)</f>
        <v>1</v>
      </c>
      <c r="P21" s="9" t="n">
        <f aca="false">IF(OR(AND(L21="Alta",M21="Escalada",N21="Sí"),AND(L21&lt;&gt;"Alta",M21="Abierta",N21="No")),1,0)</f>
        <v>1</v>
      </c>
      <c r="Q21" s="8" t="str">
        <f aca="false">IF(I21=O21,"=",IF(O21&gt;I21,"Corregido","Empeora"))</f>
        <v>=</v>
      </c>
    </row>
    <row r="22" customFormat="false" ht="15" hidden="false" customHeight="false" outlineLevel="0" collapsed="false">
      <c r="A22" s="8" t="str">
        <f aca="false">Casos!A22</f>
        <v>EV-21</v>
      </c>
      <c r="B22" s="8" t="str">
        <f aca="false">Casos!B22</f>
        <v>Ambigua</v>
      </c>
      <c r="C22" s="8" t="str">
        <f aca="false">Casos!D22</f>
        <v>Reclamación</v>
      </c>
      <c r="D22" s="8" t="str">
        <f aca="false">Casos!E22</f>
        <v>Alta</v>
      </c>
      <c r="E22" s="8" t="str">
        <f aca="false">Casos!G22</f>
        <v>Avería / Media</v>
      </c>
      <c r="F22" s="8" t="s">
        <v>81</v>
      </c>
      <c r="G22" s="8" t="s">
        <v>65</v>
      </c>
      <c r="H22" s="8" t="s">
        <v>34</v>
      </c>
      <c r="I22" s="9" t="n">
        <f aca="false">IF(OR(AND(G22=C22,H22=D22),G22&amp;" / "&amp;H22=E22),1,0)</f>
        <v>1</v>
      </c>
      <c r="J22" s="8" t="s">
        <v>82</v>
      </c>
      <c r="K22" s="8" t="s">
        <v>65</v>
      </c>
      <c r="L22" s="8" t="s">
        <v>34</v>
      </c>
      <c r="M22" s="8" t="s">
        <v>36</v>
      </c>
      <c r="N22" s="8" t="s">
        <v>37</v>
      </c>
      <c r="O22" s="9" t="n">
        <f aca="false">IF(OR(AND(K22=C22,L22=D22),K22&amp;" / "&amp;L22=E22),1,0)</f>
        <v>1</v>
      </c>
      <c r="P22" s="9" t="n">
        <f aca="false">IF(OR(AND(L22="Alta",M22="Escalada",N22="Sí"),AND(L22&lt;&gt;"Alta",M22="Abierta",N22="No")),1,0)</f>
        <v>1</v>
      </c>
      <c r="Q22" s="8" t="str">
        <f aca="false">IF(I22=O22,"=",IF(O22&gt;I22,"Corregido","Empeora"))</f>
        <v>=</v>
      </c>
    </row>
    <row r="23" customFormat="false" ht="15" hidden="false" customHeight="false" outlineLevel="0" collapsed="false">
      <c r="A23" s="8" t="str">
        <f aca="false">Casos!A23</f>
        <v>EV-22</v>
      </c>
      <c r="B23" s="8" t="str">
        <f aca="false">Casos!B23</f>
        <v>Clara</v>
      </c>
      <c r="C23" s="8" t="str">
        <f aca="false">Casos!D23</f>
        <v>Otro</v>
      </c>
      <c r="D23" s="8" t="str">
        <f aca="false">Casos!E23</f>
        <v>Alta</v>
      </c>
      <c r="E23" s="8" t="n">
        <f aca="false">Casos!G23</f>
        <v>0</v>
      </c>
      <c r="F23" s="8" t="s">
        <v>83</v>
      </c>
      <c r="G23" s="8" t="s">
        <v>84</v>
      </c>
      <c r="H23" s="8" t="s">
        <v>34</v>
      </c>
      <c r="I23" s="9" t="n">
        <f aca="false">IF(OR(AND(G23=C23,H23=D23),G23&amp;" / "&amp;H23=E23),1,0)</f>
        <v>1</v>
      </c>
      <c r="J23" s="8" t="s">
        <v>85</v>
      </c>
      <c r="K23" s="8" t="s">
        <v>84</v>
      </c>
      <c r="L23" s="8" t="s">
        <v>34</v>
      </c>
      <c r="M23" s="8" t="s">
        <v>36</v>
      </c>
      <c r="N23" s="8" t="s">
        <v>37</v>
      </c>
      <c r="O23" s="9" t="n">
        <f aca="false">IF(OR(AND(K23=C23,L23=D23),K23&amp;" / "&amp;L23=E23),1,0)</f>
        <v>1</v>
      </c>
      <c r="P23" s="9" t="n">
        <f aca="false">IF(OR(AND(L23="Alta",M23="Escalada",N23="Sí"),AND(L23&lt;&gt;"Alta",M23="Abierta",N23="No")),1,0)</f>
        <v>1</v>
      </c>
      <c r="Q23" s="8" t="str">
        <f aca="false">IF(I23=O23,"=",IF(O23&gt;I23,"Corregido","Empeora"))</f>
        <v>=</v>
      </c>
    </row>
    <row r="24" customFormat="false" ht="15" hidden="false" customHeight="false" outlineLevel="0" collapsed="false">
      <c r="A24" s="8" t="str">
        <f aca="false">Casos!A24</f>
        <v>EV-23</v>
      </c>
      <c r="B24" s="8" t="str">
        <f aca="false">Casos!B24</f>
        <v>Clara</v>
      </c>
      <c r="C24" s="8" t="str">
        <f aca="false">Casos!D24</f>
        <v>Otro</v>
      </c>
      <c r="D24" s="8" t="str">
        <f aca="false">Casos!E24</f>
        <v>Media</v>
      </c>
      <c r="E24" s="8" t="n">
        <f aca="false">Casos!G24</f>
        <v>0</v>
      </c>
      <c r="F24" s="8" t="s">
        <v>86</v>
      </c>
      <c r="G24" s="8" t="s">
        <v>84</v>
      </c>
      <c r="H24" s="8" t="s">
        <v>43</v>
      </c>
      <c r="I24" s="9" t="n">
        <f aca="false">IF(OR(AND(G24=C24,H24=D24),G24&amp;" / "&amp;H24=E24),1,0)</f>
        <v>1</v>
      </c>
      <c r="J24" s="8" t="s">
        <v>87</v>
      </c>
      <c r="K24" s="8" t="s">
        <v>84</v>
      </c>
      <c r="L24" s="8" t="s">
        <v>43</v>
      </c>
      <c r="M24" s="8" t="s">
        <v>45</v>
      </c>
      <c r="N24" s="8" t="s">
        <v>46</v>
      </c>
      <c r="O24" s="9" t="n">
        <f aca="false">IF(OR(AND(K24=C24,L24=D24),K24&amp;" / "&amp;L24=E24),1,0)</f>
        <v>1</v>
      </c>
      <c r="P24" s="9" t="n">
        <f aca="false">IF(OR(AND(L24="Alta",M24="Escalada",N24="Sí"),AND(L24&lt;&gt;"Alta",M24="Abierta",N24="No")),1,0)</f>
        <v>1</v>
      </c>
      <c r="Q24" s="8" t="str">
        <f aca="false">IF(I24=O24,"=",IF(O24&gt;I24,"Corregido","Empeora"))</f>
        <v>=</v>
      </c>
    </row>
    <row r="25" customFormat="false" ht="15" hidden="false" customHeight="false" outlineLevel="0" collapsed="false">
      <c r="A25" s="8" t="str">
        <f aca="false">Casos!A25</f>
        <v>EV-24</v>
      </c>
      <c r="B25" s="8" t="str">
        <f aca="false">Casos!B25</f>
        <v>Clara</v>
      </c>
      <c r="C25" s="8" t="str">
        <f aca="false">Casos!D25</f>
        <v>Otro</v>
      </c>
      <c r="D25" s="8" t="str">
        <f aca="false">Casos!E25</f>
        <v>Media</v>
      </c>
      <c r="E25" s="8" t="n">
        <f aca="false">Casos!G25</f>
        <v>0</v>
      </c>
      <c r="F25" s="8" t="s">
        <v>88</v>
      </c>
      <c r="G25" s="8" t="s">
        <v>84</v>
      </c>
      <c r="H25" s="8" t="s">
        <v>43</v>
      </c>
      <c r="I25" s="9" t="n">
        <f aca="false">IF(OR(AND(G25=C25,H25=D25),G25&amp;" / "&amp;H25=E25),1,0)</f>
        <v>1</v>
      </c>
      <c r="J25" s="8" t="s">
        <v>89</v>
      </c>
      <c r="K25" s="8" t="s">
        <v>84</v>
      </c>
      <c r="L25" s="8" t="s">
        <v>43</v>
      </c>
      <c r="M25" s="8" t="s">
        <v>45</v>
      </c>
      <c r="N25" s="8" t="s">
        <v>46</v>
      </c>
      <c r="O25" s="9" t="n">
        <f aca="false">IF(OR(AND(K25=C25,L25=D25),K25&amp;" / "&amp;L25=E25),1,0)</f>
        <v>1</v>
      </c>
      <c r="P25" s="9" t="n">
        <f aca="false">IF(OR(AND(L25="Alta",M25="Escalada",N25="Sí"),AND(L25&lt;&gt;"Alta",M25="Abierta",N25="No")),1,0)</f>
        <v>1</v>
      </c>
      <c r="Q25" s="8" t="str">
        <f aca="false">IF(I25=O25,"=",IF(O25&gt;I25,"Corregido","Empeora"))</f>
        <v>=</v>
      </c>
    </row>
    <row r="26" customFormat="false" ht="15" hidden="false" customHeight="false" outlineLevel="0" collapsed="false">
      <c r="A26" s="8" t="str">
        <f aca="false">Casos!A26</f>
        <v>EV-25</v>
      </c>
      <c r="B26" s="8" t="str">
        <f aca="false">Casos!B26</f>
        <v>Clara</v>
      </c>
      <c r="C26" s="8" t="str">
        <f aca="false">Casos!D26</f>
        <v>Otro</v>
      </c>
      <c r="D26" s="8" t="str">
        <f aca="false">Casos!E26</f>
        <v>Baja</v>
      </c>
      <c r="E26" s="8" t="n">
        <f aca="false">Casos!G26</f>
        <v>0</v>
      </c>
      <c r="F26" s="8" t="s">
        <v>90</v>
      </c>
      <c r="G26" s="8" t="s">
        <v>84</v>
      </c>
      <c r="H26" s="8" t="s">
        <v>52</v>
      </c>
      <c r="I26" s="9" t="n">
        <f aca="false">IF(OR(AND(G26=C26,H26=D26),G26&amp;" / "&amp;H26=E26),1,0)</f>
        <v>1</v>
      </c>
      <c r="J26" s="8" t="s">
        <v>91</v>
      </c>
      <c r="K26" s="8" t="s">
        <v>84</v>
      </c>
      <c r="L26" s="8" t="s">
        <v>52</v>
      </c>
      <c r="M26" s="8" t="s">
        <v>45</v>
      </c>
      <c r="N26" s="8" t="s">
        <v>46</v>
      </c>
      <c r="O26" s="9" t="n">
        <f aca="false">IF(OR(AND(K26=C26,L26=D26),K26&amp;" / "&amp;L26=E26),1,0)</f>
        <v>1</v>
      </c>
      <c r="P26" s="9" t="n">
        <f aca="false">IF(OR(AND(L26="Alta",M26="Escalada",N26="Sí"),AND(L26&lt;&gt;"Alta",M26="Abierta",N26="No")),1,0)</f>
        <v>1</v>
      </c>
      <c r="Q26" s="8" t="str">
        <f aca="false">IF(I26=O26,"=",IF(O26&gt;I26,"Corregido","Empeora"))</f>
        <v>=</v>
      </c>
    </row>
    <row r="27" customFormat="false" ht="15" hidden="false" customHeight="false" outlineLevel="0" collapsed="false">
      <c r="A27" s="8" t="str">
        <f aca="false">Casos!A27</f>
        <v>EV-26</v>
      </c>
      <c r="B27" s="8" t="str">
        <f aca="false">Casos!B27</f>
        <v>Clara</v>
      </c>
      <c r="C27" s="8" t="str">
        <f aca="false">Casos!D27</f>
        <v>Otro</v>
      </c>
      <c r="D27" s="8" t="str">
        <f aca="false">Casos!E27</f>
        <v>Baja</v>
      </c>
      <c r="E27" s="8" t="n">
        <f aca="false">Casos!G27</f>
        <v>0</v>
      </c>
      <c r="F27" s="8" t="s">
        <v>92</v>
      </c>
      <c r="G27" s="8" t="s">
        <v>84</v>
      </c>
      <c r="H27" s="8" t="s">
        <v>52</v>
      </c>
      <c r="I27" s="9" t="n">
        <f aca="false">IF(OR(AND(G27=C27,H27=D27),G27&amp;" / "&amp;H27=E27),1,0)</f>
        <v>1</v>
      </c>
      <c r="J27" s="8" t="s">
        <v>93</v>
      </c>
      <c r="K27" s="8" t="s">
        <v>84</v>
      </c>
      <c r="L27" s="8" t="s">
        <v>52</v>
      </c>
      <c r="M27" s="8" t="s">
        <v>45</v>
      </c>
      <c r="N27" s="8" t="s">
        <v>46</v>
      </c>
      <c r="O27" s="9" t="n">
        <f aca="false">IF(OR(AND(K27=C27,L27=D27),K27&amp;" / "&amp;L27=E27),1,0)</f>
        <v>1</v>
      </c>
      <c r="P27" s="9" t="n">
        <f aca="false">IF(OR(AND(L27="Alta",M27="Escalada",N27="Sí"),AND(L27&lt;&gt;"Alta",M27="Abierta",N27="No")),1,0)</f>
        <v>1</v>
      </c>
      <c r="Q27" s="8" t="str">
        <f aca="false">IF(I27=O27,"=",IF(O27&gt;I27,"Corregido","Empeora"))</f>
        <v>=</v>
      </c>
    </row>
    <row r="28" customFormat="false" ht="15" hidden="false" customHeight="false" outlineLevel="0" collapsed="false">
      <c r="A28" s="8" t="str">
        <f aca="false">Casos!A28</f>
        <v>EV-27</v>
      </c>
      <c r="B28" s="8" t="str">
        <f aca="false">Casos!B28</f>
        <v>Clara</v>
      </c>
      <c r="C28" s="8" t="str">
        <f aca="false">Casos!D28</f>
        <v>Otro</v>
      </c>
      <c r="D28" s="8" t="str">
        <f aca="false">Casos!E28</f>
        <v>Baja</v>
      </c>
      <c r="E28" s="8" t="n">
        <f aca="false">Casos!G28</f>
        <v>0</v>
      </c>
      <c r="F28" s="8" t="s">
        <v>94</v>
      </c>
      <c r="G28" s="8" t="s">
        <v>84</v>
      </c>
      <c r="H28" s="8" t="s">
        <v>52</v>
      </c>
      <c r="I28" s="9" t="n">
        <f aca="false">IF(OR(AND(G28=C28,H28=D28),G28&amp;" / "&amp;H28=E28),1,0)</f>
        <v>1</v>
      </c>
      <c r="J28" s="8" t="s">
        <v>95</v>
      </c>
      <c r="K28" s="8" t="s">
        <v>84</v>
      </c>
      <c r="L28" s="8" t="s">
        <v>52</v>
      </c>
      <c r="M28" s="8" t="s">
        <v>45</v>
      </c>
      <c r="N28" s="8" t="s">
        <v>46</v>
      </c>
      <c r="O28" s="9" t="n">
        <f aca="false">IF(OR(AND(K28=C28,L28=D28),K28&amp;" / "&amp;L28=E28),1,0)</f>
        <v>1</v>
      </c>
      <c r="P28" s="9" t="n">
        <f aca="false">IF(OR(AND(L28="Alta",M28="Escalada",N28="Sí"),AND(L28&lt;&gt;"Alta",M28="Abierta",N28="No")),1,0)</f>
        <v>1</v>
      </c>
      <c r="Q28" s="8" t="str">
        <f aca="false">IF(I28=O28,"=",IF(O28&gt;I28,"Corregido","Empeora"))</f>
        <v>=</v>
      </c>
    </row>
    <row r="29" customFormat="false" ht="15" hidden="false" customHeight="false" outlineLevel="0" collapsed="false">
      <c r="A29" s="8" t="str">
        <f aca="false">Casos!A29</f>
        <v>EV-28</v>
      </c>
      <c r="B29" s="8" t="str">
        <f aca="false">Casos!B29</f>
        <v>Clara</v>
      </c>
      <c r="C29" s="8" t="str">
        <f aca="false">Casos!D29</f>
        <v>Otro</v>
      </c>
      <c r="D29" s="8" t="str">
        <f aca="false">Casos!E29</f>
        <v>Baja</v>
      </c>
      <c r="E29" s="8" t="n">
        <f aca="false">Casos!G29</f>
        <v>0</v>
      </c>
      <c r="F29" s="8" t="s">
        <v>96</v>
      </c>
      <c r="G29" s="8" t="s">
        <v>84</v>
      </c>
      <c r="H29" s="8" t="s">
        <v>52</v>
      </c>
      <c r="I29" s="9" t="n">
        <f aca="false">IF(OR(AND(G29=C29,H29=D29),G29&amp;" / "&amp;H29=E29),1,0)</f>
        <v>1</v>
      </c>
      <c r="J29" s="8" t="s">
        <v>97</v>
      </c>
      <c r="K29" s="8" t="s">
        <v>84</v>
      </c>
      <c r="L29" s="8" t="s">
        <v>52</v>
      </c>
      <c r="M29" s="8" t="s">
        <v>45</v>
      </c>
      <c r="N29" s="8" t="s">
        <v>46</v>
      </c>
      <c r="O29" s="9" t="n">
        <f aca="false">IF(OR(AND(K29=C29,L29=D29),K29&amp;" / "&amp;L29=E29),1,0)</f>
        <v>1</v>
      </c>
      <c r="P29" s="9" t="n">
        <f aca="false">IF(OR(AND(L29="Alta",M29="Escalada",N29="Sí"),AND(L29&lt;&gt;"Alta",M29="Abierta",N29="No")),1,0)</f>
        <v>1</v>
      </c>
      <c r="Q29" s="8" t="str">
        <f aca="false">IF(I29=O29,"=",IF(O29&gt;I29,"Corregido","Empeora"))</f>
        <v>=</v>
      </c>
    </row>
    <row r="30" customFormat="false" ht="15" hidden="false" customHeight="false" outlineLevel="0" collapsed="false">
      <c r="A30" s="8" t="str">
        <f aca="false">Casos!A30</f>
        <v>EV-29</v>
      </c>
      <c r="B30" s="8" t="str">
        <f aca="false">Casos!B30</f>
        <v>Clara</v>
      </c>
      <c r="C30" s="8" t="str">
        <f aca="false">Casos!D30</f>
        <v>Otro</v>
      </c>
      <c r="D30" s="8" t="str">
        <f aca="false">Casos!E30</f>
        <v>Baja</v>
      </c>
      <c r="E30" s="8" t="n">
        <f aca="false">Casos!G30</f>
        <v>0</v>
      </c>
      <c r="F30" s="8" t="s">
        <v>98</v>
      </c>
      <c r="G30" s="8" t="s">
        <v>84</v>
      </c>
      <c r="H30" s="8" t="s">
        <v>52</v>
      </c>
      <c r="I30" s="9" t="n">
        <f aca="false">IF(OR(AND(G30=C30,H30=D30),G30&amp;" / "&amp;H30=E30),1,0)</f>
        <v>1</v>
      </c>
      <c r="J30" s="8" t="s">
        <v>99</v>
      </c>
      <c r="K30" s="8" t="s">
        <v>84</v>
      </c>
      <c r="L30" s="8" t="s">
        <v>52</v>
      </c>
      <c r="M30" s="8" t="s">
        <v>45</v>
      </c>
      <c r="N30" s="8" t="s">
        <v>46</v>
      </c>
      <c r="O30" s="9" t="n">
        <f aca="false">IF(OR(AND(K30=C30,L30=D30),K30&amp;" / "&amp;L30=E30),1,0)</f>
        <v>1</v>
      </c>
      <c r="P30" s="9" t="n">
        <f aca="false">IF(OR(AND(L30="Alta",M30="Escalada",N30="Sí"),AND(L30&lt;&gt;"Alta",M30="Abierta",N30="No")),1,0)</f>
        <v>1</v>
      </c>
      <c r="Q30" s="8" t="str">
        <f aca="false">IF(I30=O30,"=",IF(O30&gt;I30,"Corregido","Empeora"))</f>
        <v>=</v>
      </c>
    </row>
    <row r="31" customFormat="false" ht="15" hidden="false" customHeight="false" outlineLevel="0" collapsed="false">
      <c r="A31" s="8" t="str">
        <f aca="false">Casos!A31</f>
        <v>EV-30</v>
      </c>
      <c r="B31" s="8" t="str">
        <f aca="false">Casos!B31</f>
        <v>Ambigua</v>
      </c>
      <c r="C31" s="8" t="str">
        <f aca="false">Casos!D31</f>
        <v>Otro</v>
      </c>
      <c r="D31" s="8" t="str">
        <f aca="false">Casos!E31</f>
        <v>Alta</v>
      </c>
      <c r="E31" s="8" t="str">
        <f aca="false">Casos!G31</f>
        <v>Avería / Alta</v>
      </c>
      <c r="F31" s="8" t="s">
        <v>100</v>
      </c>
      <c r="G31" s="8" t="s">
        <v>33</v>
      </c>
      <c r="H31" s="8" t="s">
        <v>34</v>
      </c>
      <c r="I31" s="9" t="n">
        <f aca="false">IF(OR(AND(G31=C31,H31=D31),G31&amp;" / "&amp;H31=E31),1,0)</f>
        <v>1</v>
      </c>
      <c r="J31" s="8" t="s">
        <v>101</v>
      </c>
      <c r="K31" s="8" t="s">
        <v>33</v>
      </c>
      <c r="L31" s="8" t="s">
        <v>34</v>
      </c>
      <c r="M31" s="8" t="s">
        <v>36</v>
      </c>
      <c r="N31" s="8" t="s">
        <v>37</v>
      </c>
      <c r="O31" s="9" t="n">
        <f aca="false">IF(OR(AND(K31=C31,L31=D31),K31&amp;" / "&amp;L31=E31),1,0)</f>
        <v>1</v>
      </c>
      <c r="P31" s="9" t="n">
        <f aca="false">IF(OR(AND(L31="Alta",M31="Escalada",N31="Sí"),AND(L31&lt;&gt;"Alta",M31="Abierta",N31="No")),1,0)</f>
        <v>1</v>
      </c>
      <c r="Q31" s="8" t="str">
        <f aca="false">IF(I31=O31,"=",IF(O31&gt;I31,"Corregido","Empeora"))</f>
        <v>=</v>
      </c>
    </row>
    <row r="34" customFormat="false" ht="15" hidden="false" customHeight="false" outlineLevel="0" collapsed="false">
      <c r="A34" s="10" t="s">
        <v>102</v>
      </c>
    </row>
    <row r="35" customFormat="false" ht="15" hidden="false" customHeight="false" outlineLevel="0" collapsed="false">
      <c r="A35" s="11" t="s">
        <v>103</v>
      </c>
      <c r="B35" s="11"/>
      <c r="C35" s="11"/>
      <c r="D35" s="11"/>
      <c r="E35" s="11"/>
      <c r="F35" s="12" t="n">
        <f aca="false">SUM(I2:I31)</f>
        <v>28</v>
      </c>
      <c r="G35" s="13" t="n">
        <f aca="false">SUM(I2:I31)/30</f>
        <v>0.933333333333333</v>
      </c>
    </row>
    <row r="36" customFormat="false" ht="15" hidden="false" customHeight="false" outlineLevel="0" collapsed="false">
      <c r="A36" s="11" t="s">
        <v>104</v>
      </c>
      <c r="B36" s="11"/>
      <c r="C36" s="11"/>
      <c r="D36" s="11"/>
      <c r="E36" s="11"/>
      <c r="F36" s="12" t="n">
        <f aca="false">SUM(O2:O31)</f>
        <v>30</v>
      </c>
      <c r="G36" s="13" t="n">
        <f aca="false">SUM(O2:O31)/30</f>
        <v>1</v>
      </c>
    </row>
    <row r="37" customFormat="false" ht="15" hidden="false" customHeight="false" outlineLevel="0" collapsed="false">
      <c r="A37" s="11" t="s">
        <v>105</v>
      </c>
      <c r="B37" s="11"/>
      <c r="C37" s="11"/>
      <c r="D37" s="11"/>
      <c r="E37" s="11"/>
      <c r="F37" s="12" t="n">
        <f aca="false">COUNTIF(Q2:Q31,"Corregido")</f>
        <v>2</v>
      </c>
    </row>
    <row r="38" customFormat="false" ht="15" hidden="false" customHeight="false" outlineLevel="0" collapsed="false">
      <c r="A38" s="11" t="s">
        <v>106</v>
      </c>
      <c r="B38" s="11"/>
      <c r="C38" s="11"/>
      <c r="D38" s="11"/>
      <c r="E38" s="11"/>
      <c r="F38" s="12" t="n">
        <f aca="false">COUNTIF(Q2:Q31,"Empeora")</f>
        <v>0</v>
      </c>
    </row>
    <row r="39" customFormat="false" ht="15" hidden="false" customHeight="false" outlineLevel="0" collapsed="false">
      <c r="A39" s="11" t="s">
        <v>107</v>
      </c>
      <c r="B39" s="11"/>
      <c r="C39" s="11"/>
      <c r="D39" s="11"/>
      <c r="E39" s="11"/>
      <c r="F39" s="12" t="n">
        <f aca="false">COUNTIFS(D2:D31,"Alta",H2:H31,"&lt;&gt;Alta")</f>
        <v>1</v>
      </c>
    </row>
    <row r="40" customFormat="false" ht="15" hidden="false" customHeight="false" outlineLevel="0" collapsed="false">
      <c r="A40" s="11" t="s">
        <v>108</v>
      </c>
      <c r="B40" s="11"/>
      <c r="C40" s="11"/>
      <c r="D40" s="11"/>
      <c r="E40" s="11"/>
      <c r="F40" s="12" t="n">
        <f aca="false">COUNTIFS(D2:D31,"Alta",L2:L31,"&lt;&gt;Alta")</f>
        <v>0</v>
      </c>
    </row>
    <row r="41" customFormat="false" ht="15" hidden="false" customHeight="false" outlineLevel="0" collapsed="false">
      <c r="A41" s="11" t="s">
        <v>109</v>
      </c>
      <c r="B41" s="11"/>
      <c r="C41" s="11"/>
      <c r="D41" s="11"/>
      <c r="E41" s="11"/>
      <c r="F41" s="12" t="n">
        <f aca="false">SUM(P2:P31)</f>
        <v>30</v>
      </c>
      <c r="G41" s="13" t="n">
        <f aca="false">SUM(P2:P31)/30</f>
        <v>1</v>
      </c>
    </row>
    <row r="43" customFormat="false" ht="15" hidden="false" customHeight="true" outlineLevel="0" collapsed="false">
      <c r="A43" s="14" t="s">
        <v>110</v>
      </c>
      <c r="B43" s="14"/>
      <c r="C43" s="14"/>
      <c r="D43" s="14"/>
      <c r="E43" s="14"/>
      <c r="F43" s="14"/>
      <c r="G43" s="14"/>
      <c r="H43" s="14"/>
      <c r="I43" s="14"/>
      <c r="J43" s="14"/>
      <c r="K43" s="14"/>
      <c r="L43" s="14"/>
      <c r="M43" s="14"/>
      <c r="N43" s="14"/>
      <c r="O43" s="14"/>
      <c r="P43" s="14"/>
      <c r="Q43" s="14"/>
    </row>
    <row r="44" customFormat="false" ht="15" hidden="false" customHeight="false" outlineLevel="0" collapsed="false">
      <c r="A44" s="14"/>
      <c r="B44" s="14"/>
      <c r="C44" s="14"/>
      <c r="D44" s="14"/>
      <c r="E44" s="14"/>
      <c r="F44" s="14"/>
      <c r="G44" s="14"/>
      <c r="H44" s="14"/>
      <c r="I44" s="14"/>
      <c r="J44" s="14"/>
      <c r="K44" s="14"/>
      <c r="L44" s="14"/>
      <c r="M44" s="14"/>
      <c r="N44" s="14"/>
      <c r="O44" s="14"/>
      <c r="P44" s="14"/>
      <c r="Q44" s="14"/>
    </row>
  </sheetData>
  <mergeCells count="8">
    <mergeCell ref="A35:E35"/>
    <mergeCell ref="A36:E36"/>
    <mergeCell ref="A37:E37"/>
    <mergeCell ref="A38:E38"/>
    <mergeCell ref="A39:E39"/>
    <mergeCell ref="A40:E40"/>
    <mergeCell ref="A41:E41"/>
    <mergeCell ref="A43:Q44"/>
  </mergeCells>
  <conditionalFormatting sqref="I2:I31">
    <cfRule type="expression" priority="2" aboveAverage="0" equalAverage="0" bottom="0" percent="0" rank="0" text="" dxfId="0">
      <formula>I2=1</formula>
    </cfRule>
    <cfRule type="expression" priority="3" aboveAverage="0" equalAverage="0" bottom="0" percent="0" rank="0" text="" dxfId="1">
      <formula>I2=0</formula>
    </cfRule>
  </conditionalFormatting>
  <conditionalFormatting sqref="O2:O31">
    <cfRule type="expression" priority="4" aboveAverage="0" equalAverage="0" bottom="0" percent="0" rank="0" text="" dxfId="0">
      <formula>O2=1</formula>
    </cfRule>
    <cfRule type="expression" priority="5" aboveAverage="0" equalAverage="0" bottom="0" percent="0" rank="0" text="" dxfId="1">
      <formula>O2=0</formula>
    </cfRule>
  </conditionalFormatting>
  <conditionalFormatting sqref="P2:P31">
    <cfRule type="expression" priority="6" aboveAverage="0" equalAverage="0" bottom="0" percent="0" rank="0" text="" dxfId="0">
      <formula>P2=1</formula>
    </cfRule>
    <cfRule type="expression" priority="7" aboveAverage="0" equalAverage="0" bottom="0" percent="0" rank="0" text="" dxfId="1">
      <formula>P2=0</formula>
    </cfRule>
  </conditionalFormatting>
  <conditionalFormatting sqref="Q2:Q31">
    <cfRule type="expression" priority="8" aboveAverage="0" equalAverage="0" bottom="0" percent="0" rank="0" text="" dxfId="0">
      <formula>Q2="Corregido"</formula>
    </cfRule>
    <cfRule type="expression" priority="9" aboveAverage="0" equalAverage="0" bottom="0" percent="0" rank="0" text="" dxfId="1">
      <formula>Q2="Empeora"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55"/>
    <col collapsed="false" customWidth="true" hidden="false" outlineLevel="0" max="4" min="4" style="1" width="13"/>
    <col collapsed="false" customWidth="true" hidden="false" outlineLevel="0" max="5" min="5" style="1" width="12"/>
    <col collapsed="false" customWidth="true" hidden="false" outlineLevel="0" max="6" min="6" style="1" width="11"/>
    <col collapsed="false" customWidth="true" hidden="false" outlineLevel="0" max="7" min="7" style="1" width="18"/>
    <col collapsed="false" customWidth="true" hidden="false" outlineLevel="0" max="8" min="8" style="1" width="45"/>
    <col collapsed="false" customWidth="true" hidden="false" outlineLevel="0" max="9" min="9" style="1" width="12"/>
    <col collapsed="false" customWidth="true" hidden="false" outlineLevel="0" max="10" min="10" style="1" width="14"/>
    <col collapsed="false" customWidth="true" hidden="false" outlineLevel="0" max="11" min="11" style="1" width="12"/>
    <col collapsed="false" customWidth="true" hidden="false" outlineLevel="0" max="12" min="12" style="1" width="10"/>
    <col collapsed="false" customWidth="true" hidden="false" outlineLevel="0" max="14" min="13" style="1" width="11"/>
    <col collapsed="false" customWidth="true" hidden="false" outlineLevel="0" max="15" min="15" style="1" width="13"/>
    <col collapsed="false" customWidth="true" hidden="false" outlineLevel="0" max="16" min="16" style="1" width="30"/>
  </cols>
  <sheetData>
    <row r="1" customFormat="false" ht="31.5" hidden="false" customHeight="true" outlineLevel="0" collapsed="false">
      <c r="A1" s="7" t="s">
        <v>15</v>
      </c>
      <c r="B1" s="7" t="s">
        <v>16</v>
      </c>
      <c r="C1" s="7" t="s">
        <v>111</v>
      </c>
      <c r="D1" s="7" t="s">
        <v>17</v>
      </c>
      <c r="E1" s="7" t="s">
        <v>18</v>
      </c>
      <c r="F1" s="7" t="s">
        <v>112</v>
      </c>
      <c r="G1" s="7" t="s">
        <v>113</v>
      </c>
      <c r="H1" s="7" t="s">
        <v>114</v>
      </c>
      <c r="I1" s="7" t="s">
        <v>115</v>
      </c>
      <c r="J1" s="7" t="s">
        <v>116</v>
      </c>
      <c r="K1" s="7" t="s">
        <v>117</v>
      </c>
      <c r="L1" s="7" t="s">
        <v>118</v>
      </c>
      <c r="M1" s="7" t="s">
        <v>119</v>
      </c>
      <c r="N1" s="7" t="s">
        <v>120</v>
      </c>
      <c r="O1" s="7" t="s">
        <v>121</v>
      </c>
      <c r="P1" s="7" t="s">
        <v>122</v>
      </c>
    </row>
    <row r="2" customFormat="false" ht="23.25" hidden="false" customHeight="true" outlineLevel="0" collapsed="false">
      <c r="A2" s="8" t="s">
        <v>123</v>
      </c>
      <c r="B2" s="8" t="s">
        <v>124</v>
      </c>
      <c r="C2" s="15" t="s">
        <v>125</v>
      </c>
      <c r="D2" s="16" t="s">
        <v>33</v>
      </c>
      <c r="E2" s="16" t="s">
        <v>34</v>
      </c>
      <c r="F2" s="8" t="str">
        <f aca="false">IF(E2="Alta","Sí","No")</f>
        <v>Sí</v>
      </c>
      <c r="G2" s="16"/>
      <c r="H2" s="15" t="s">
        <v>126</v>
      </c>
      <c r="I2" s="17" t="s">
        <v>35</v>
      </c>
      <c r="J2" s="17" t="s">
        <v>33</v>
      </c>
      <c r="K2" s="17" t="s">
        <v>34</v>
      </c>
      <c r="L2" s="9" t="n">
        <f aca="false">IF(J2="","",IF(J2=D2,1,0))</f>
        <v>1</v>
      </c>
      <c r="M2" s="9" t="n">
        <f aca="false">IF(K2="","",IF(K2=E2,1,0))</f>
        <v>1</v>
      </c>
      <c r="N2" s="9" t="n">
        <f aca="false">IF(OR(J2="",K2=""),"",IF(AND(J2=D2,K2=E2),1,0))</f>
        <v>1</v>
      </c>
      <c r="O2" s="8" t="n">
        <f aca="false">IF(OR(J2="",K2=""),"",IF(OR(N2=1,J2&amp;" / "&amp;K2=G2),1,0))</f>
        <v>1</v>
      </c>
      <c r="P2" s="18"/>
    </row>
    <row r="3" customFormat="false" ht="23.25" hidden="false" customHeight="true" outlineLevel="0" collapsed="false">
      <c r="A3" s="8" t="s">
        <v>127</v>
      </c>
      <c r="B3" s="8" t="s">
        <v>124</v>
      </c>
      <c r="C3" s="15" t="s">
        <v>128</v>
      </c>
      <c r="D3" s="16" t="s">
        <v>33</v>
      </c>
      <c r="E3" s="16" t="s">
        <v>34</v>
      </c>
      <c r="F3" s="8" t="str">
        <f aca="false">IF(E3="Alta","Sí","No")</f>
        <v>Sí</v>
      </c>
      <c r="G3" s="16"/>
      <c r="H3" s="15" t="s">
        <v>129</v>
      </c>
      <c r="I3" s="17" t="s">
        <v>39</v>
      </c>
      <c r="J3" s="17" t="s">
        <v>33</v>
      </c>
      <c r="K3" s="17" t="s">
        <v>34</v>
      </c>
      <c r="L3" s="9" t="n">
        <f aca="false">IF(J3="","",IF(J3=D3,1,0))</f>
        <v>1</v>
      </c>
      <c r="M3" s="9" t="n">
        <f aca="false">IF(K3="","",IF(K3=E3,1,0))</f>
        <v>1</v>
      </c>
      <c r="N3" s="9" t="n">
        <f aca="false">IF(OR(J3="",K3=""),"",IF(AND(J3=D3,K3=E3),1,0))</f>
        <v>1</v>
      </c>
      <c r="O3" s="8" t="n">
        <f aca="false">IF(OR(J3="",K3=""),"",IF(OR(N3=1,J3&amp;" / "&amp;K3=G3),1,0))</f>
        <v>1</v>
      </c>
      <c r="P3" s="8"/>
    </row>
    <row r="4" customFormat="false" ht="23.25" hidden="false" customHeight="true" outlineLevel="0" collapsed="false">
      <c r="A4" s="8" t="s">
        <v>130</v>
      </c>
      <c r="B4" s="8" t="s">
        <v>124</v>
      </c>
      <c r="C4" s="15" t="s">
        <v>131</v>
      </c>
      <c r="D4" s="16" t="s">
        <v>33</v>
      </c>
      <c r="E4" s="16" t="s">
        <v>34</v>
      </c>
      <c r="F4" s="8" t="str">
        <f aca="false">IF(E4="Alta","Sí","No")</f>
        <v>Sí</v>
      </c>
      <c r="G4" s="16"/>
      <c r="H4" s="15" t="s">
        <v>132</v>
      </c>
      <c r="I4" s="17" t="s">
        <v>41</v>
      </c>
      <c r="J4" s="17" t="s">
        <v>33</v>
      </c>
      <c r="K4" s="17" t="s">
        <v>34</v>
      </c>
      <c r="L4" s="9" t="n">
        <f aca="false">IF(J4="","",IF(J4=D4,1,0))</f>
        <v>1</v>
      </c>
      <c r="M4" s="9" t="n">
        <f aca="false">IF(K4="","",IF(K4=E4,1,0))</f>
        <v>1</v>
      </c>
      <c r="N4" s="9" t="n">
        <f aca="false">IF(OR(J4="",K4=""),"",IF(AND(J4=D4,K4=E4),1,0))</f>
        <v>1</v>
      </c>
      <c r="O4" s="8" t="n">
        <f aca="false">IF(OR(J4="",K4=""),"",IF(OR(N4=1,J4&amp;" / "&amp;K4=G4),1,0))</f>
        <v>1</v>
      </c>
      <c r="P4" s="8"/>
    </row>
    <row r="5" customFormat="false" ht="23.25" hidden="false" customHeight="true" outlineLevel="0" collapsed="false">
      <c r="A5" s="8" t="s">
        <v>133</v>
      </c>
      <c r="B5" s="8" t="s">
        <v>124</v>
      </c>
      <c r="C5" s="15" t="s">
        <v>134</v>
      </c>
      <c r="D5" s="16" t="s">
        <v>33</v>
      </c>
      <c r="E5" s="16" t="s">
        <v>43</v>
      </c>
      <c r="F5" s="8" t="str">
        <f aca="false">IF(E5="Alta","Sí","No")</f>
        <v>No</v>
      </c>
      <c r="G5" s="16"/>
      <c r="H5" s="15" t="s">
        <v>135</v>
      </c>
      <c r="I5" s="17" t="s">
        <v>44</v>
      </c>
      <c r="J5" s="17" t="s">
        <v>33</v>
      </c>
      <c r="K5" s="17" t="s">
        <v>43</v>
      </c>
      <c r="L5" s="9" t="n">
        <f aca="false">IF(J5="","",IF(J5=D5,1,0))</f>
        <v>1</v>
      </c>
      <c r="M5" s="9" t="n">
        <f aca="false">IF(K5="","",IF(K5=E5,1,0))</f>
        <v>1</v>
      </c>
      <c r="N5" s="9" t="n">
        <f aca="false">IF(OR(J5="",K5=""),"",IF(AND(J5=D5,K5=E5),1,0))</f>
        <v>1</v>
      </c>
      <c r="O5" s="8" t="n">
        <f aca="false">IF(OR(J5="",K5=""),"",IF(OR(N5=1,J5&amp;" / "&amp;K5=G5),1,0))</f>
        <v>1</v>
      </c>
      <c r="P5" s="8"/>
    </row>
    <row r="6" customFormat="false" ht="23.25" hidden="false" customHeight="true" outlineLevel="0" collapsed="false">
      <c r="A6" s="8" t="s">
        <v>136</v>
      </c>
      <c r="B6" s="8" t="s">
        <v>124</v>
      </c>
      <c r="C6" s="15" t="s">
        <v>137</v>
      </c>
      <c r="D6" s="16" t="s">
        <v>33</v>
      </c>
      <c r="E6" s="16" t="s">
        <v>43</v>
      </c>
      <c r="F6" s="8" t="str">
        <f aca="false">IF(E6="Alta","Sí","No")</f>
        <v>No</v>
      </c>
      <c r="G6" s="16"/>
      <c r="H6" s="15" t="s">
        <v>138</v>
      </c>
      <c r="I6" s="17" t="s">
        <v>48</v>
      </c>
      <c r="J6" s="17" t="s">
        <v>33</v>
      </c>
      <c r="K6" s="17" t="s">
        <v>43</v>
      </c>
      <c r="L6" s="9" t="n">
        <f aca="false">IF(J6="","",IF(J6=D6,1,0))</f>
        <v>1</v>
      </c>
      <c r="M6" s="9" t="n">
        <f aca="false">IF(K6="","",IF(K6=E6,1,0))</f>
        <v>1</v>
      </c>
      <c r="N6" s="9" t="n">
        <f aca="false">IF(OR(J6="",K6=""),"",IF(AND(J6=D6,K6=E6),1,0))</f>
        <v>1</v>
      </c>
      <c r="O6" s="8" t="n">
        <f aca="false">IF(OR(J6="",K6=""),"",IF(OR(N6=1,J6&amp;" / "&amp;K6=G6),1,0))</f>
        <v>1</v>
      </c>
      <c r="P6" s="8"/>
    </row>
    <row r="7" customFormat="false" ht="23.25" hidden="false" customHeight="true" outlineLevel="0" collapsed="false">
      <c r="A7" s="8" t="s">
        <v>139</v>
      </c>
      <c r="B7" s="8" t="s">
        <v>124</v>
      </c>
      <c r="C7" s="15" t="s">
        <v>140</v>
      </c>
      <c r="D7" s="16" t="s">
        <v>33</v>
      </c>
      <c r="E7" s="16" t="s">
        <v>43</v>
      </c>
      <c r="F7" s="8" t="str">
        <f aca="false">IF(E7="Alta","Sí","No")</f>
        <v>No</v>
      </c>
      <c r="G7" s="16"/>
      <c r="H7" s="15" t="s">
        <v>141</v>
      </c>
      <c r="I7" s="17" t="s">
        <v>50</v>
      </c>
      <c r="J7" s="17" t="s">
        <v>33</v>
      </c>
      <c r="K7" s="17" t="s">
        <v>43</v>
      </c>
      <c r="L7" s="9" t="n">
        <f aca="false">IF(J7="","",IF(J7=D7,1,0))</f>
        <v>1</v>
      </c>
      <c r="M7" s="9" t="n">
        <f aca="false">IF(K7="","",IF(K7=E7,1,0))</f>
        <v>1</v>
      </c>
      <c r="N7" s="9" t="n">
        <f aca="false">IF(OR(J7="",K7=""),"",IF(AND(J7=D7,K7=E7),1,0))</f>
        <v>1</v>
      </c>
      <c r="O7" s="8" t="n">
        <f aca="false">IF(OR(J7="",K7=""),"",IF(OR(N7=1,J7&amp;" / "&amp;K7=G7),1,0))</f>
        <v>1</v>
      </c>
      <c r="P7" s="8"/>
    </row>
    <row r="8" customFormat="false" ht="23.25" hidden="false" customHeight="true" outlineLevel="0" collapsed="false">
      <c r="A8" s="8" t="s">
        <v>142</v>
      </c>
      <c r="B8" s="8" t="s">
        <v>124</v>
      </c>
      <c r="C8" s="15" t="s">
        <v>143</v>
      </c>
      <c r="D8" s="16" t="s">
        <v>33</v>
      </c>
      <c r="E8" s="16" t="s">
        <v>52</v>
      </c>
      <c r="F8" s="8" t="str">
        <f aca="false">IF(E8="Alta","Sí","No")</f>
        <v>No</v>
      </c>
      <c r="G8" s="16"/>
      <c r="H8" s="15" t="s">
        <v>144</v>
      </c>
      <c r="I8" s="17" t="s">
        <v>53</v>
      </c>
      <c r="J8" s="17" t="s">
        <v>33</v>
      </c>
      <c r="K8" s="17" t="s">
        <v>52</v>
      </c>
      <c r="L8" s="9" t="n">
        <f aca="false">IF(J8="","",IF(J8=D8,1,0))</f>
        <v>1</v>
      </c>
      <c r="M8" s="9" t="n">
        <f aca="false">IF(K8="","",IF(K8=E8,1,0))</f>
        <v>1</v>
      </c>
      <c r="N8" s="9" t="n">
        <f aca="false">IF(OR(J8="",K8=""),"",IF(AND(J8=D8,K8=E8),1,0))</f>
        <v>1</v>
      </c>
      <c r="O8" s="8" t="n">
        <f aca="false">IF(OR(J8="",K8=""),"",IF(OR(N8=1,J8&amp;" / "&amp;K8=G8),1,0))</f>
        <v>1</v>
      </c>
      <c r="P8" s="8"/>
    </row>
    <row r="9" customFormat="false" ht="23.25" hidden="false" customHeight="true" outlineLevel="0" collapsed="false">
      <c r="A9" s="8" t="s">
        <v>145</v>
      </c>
      <c r="B9" s="8" t="s">
        <v>124</v>
      </c>
      <c r="C9" s="15" t="s">
        <v>146</v>
      </c>
      <c r="D9" s="16" t="s">
        <v>33</v>
      </c>
      <c r="E9" s="16" t="s">
        <v>52</v>
      </c>
      <c r="F9" s="8" t="str">
        <f aca="false">IF(E9="Alta","Sí","No")</f>
        <v>No</v>
      </c>
      <c r="G9" s="16"/>
      <c r="H9" s="15" t="s">
        <v>147</v>
      </c>
      <c r="I9" s="17" t="s">
        <v>55</v>
      </c>
      <c r="J9" s="17" t="s">
        <v>33</v>
      </c>
      <c r="K9" s="17" t="s">
        <v>52</v>
      </c>
      <c r="L9" s="9" t="n">
        <f aca="false">IF(J9="","",IF(J9=D9,1,0))</f>
        <v>1</v>
      </c>
      <c r="M9" s="9" t="n">
        <f aca="false">IF(K9="","",IF(K9=E9,1,0))</f>
        <v>1</v>
      </c>
      <c r="N9" s="9" t="n">
        <f aca="false">IF(OR(J9="",K9=""),"",IF(AND(J9=D9,K9=E9),1,0))</f>
        <v>1</v>
      </c>
      <c r="O9" s="8" t="n">
        <f aca="false">IF(OR(J9="",K9=""),"",IF(OR(N9=1,J9&amp;" / "&amp;K9=G9),1,0))</f>
        <v>1</v>
      </c>
      <c r="P9" s="8"/>
    </row>
    <row r="10" customFormat="false" ht="23.25" hidden="false" customHeight="true" outlineLevel="0" collapsed="false">
      <c r="A10" s="8" t="s">
        <v>148</v>
      </c>
      <c r="B10" s="8" t="s">
        <v>124</v>
      </c>
      <c r="C10" s="15" t="s">
        <v>149</v>
      </c>
      <c r="D10" s="16" t="s">
        <v>33</v>
      </c>
      <c r="E10" s="16" t="s">
        <v>52</v>
      </c>
      <c r="F10" s="8" t="str">
        <f aca="false">IF(E10="Alta","Sí","No")</f>
        <v>No</v>
      </c>
      <c r="G10" s="16"/>
      <c r="H10" s="15" t="s">
        <v>150</v>
      </c>
      <c r="I10" s="17" t="s">
        <v>57</v>
      </c>
      <c r="J10" s="17" t="s">
        <v>33</v>
      </c>
      <c r="K10" s="17" t="s">
        <v>52</v>
      </c>
      <c r="L10" s="9" t="n">
        <f aca="false">IF(J10="","",IF(J10=D10,1,0))</f>
        <v>1</v>
      </c>
      <c r="M10" s="9" t="n">
        <f aca="false">IF(K10="","",IF(K10=E10,1,0))</f>
        <v>1</v>
      </c>
      <c r="N10" s="9" t="n">
        <f aca="false">IF(OR(J10="",K10=""),"",IF(AND(J10=D10,K10=E10),1,0))</f>
        <v>1</v>
      </c>
      <c r="O10" s="8" t="n">
        <f aca="false">IF(OR(J10="",K10=""),"",IF(OR(N10=1,J10&amp;" / "&amp;K10=G10),1,0))</f>
        <v>1</v>
      </c>
      <c r="P10" s="8"/>
    </row>
    <row r="11" customFormat="false" ht="23.25" hidden="false" customHeight="true" outlineLevel="0" collapsed="false">
      <c r="A11" s="8" t="s">
        <v>151</v>
      </c>
      <c r="B11" s="8" t="s">
        <v>124</v>
      </c>
      <c r="C11" s="15" t="s">
        <v>152</v>
      </c>
      <c r="D11" s="16" t="s">
        <v>33</v>
      </c>
      <c r="E11" s="16" t="s">
        <v>52</v>
      </c>
      <c r="F11" s="8" t="str">
        <f aca="false">IF(E11="Alta","Sí","No")</f>
        <v>No</v>
      </c>
      <c r="G11" s="16"/>
      <c r="H11" s="15" t="s">
        <v>153</v>
      </c>
      <c r="I11" s="17" t="s">
        <v>59</v>
      </c>
      <c r="J11" s="17" t="s">
        <v>33</v>
      </c>
      <c r="K11" s="17" t="s">
        <v>52</v>
      </c>
      <c r="L11" s="9" t="n">
        <f aca="false">IF(J11="","",IF(J11=D11,1,0))</f>
        <v>1</v>
      </c>
      <c r="M11" s="9" t="n">
        <f aca="false">IF(K11="","",IF(K11=E11,1,0))</f>
        <v>1</v>
      </c>
      <c r="N11" s="9" t="n">
        <f aca="false">IF(OR(J11="",K11=""),"",IF(AND(J11=D11,K11=E11),1,0))</f>
        <v>1</v>
      </c>
      <c r="O11" s="8" t="n">
        <f aca="false">IF(OR(J11="",K11=""),"",IF(OR(N11=1,J11&amp;" / "&amp;K11=G11),1,0))</f>
        <v>1</v>
      </c>
      <c r="P11" s="8"/>
    </row>
    <row r="12" customFormat="false" ht="23.25" hidden="false" customHeight="true" outlineLevel="0" collapsed="false">
      <c r="A12" s="8" t="s">
        <v>154</v>
      </c>
      <c r="B12" s="8" t="s">
        <v>155</v>
      </c>
      <c r="C12" s="15" t="s">
        <v>156</v>
      </c>
      <c r="D12" s="16" t="s">
        <v>33</v>
      </c>
      <c r="E12" s="16" t="s">
        <v>52</v>
      </c>
      <c r="F12" s="8" t="str">
        <f aca="false">IF(E12="Alta","Sí","No")</f>
        <v>No</v>
      </c>
      <c r="G12" s="16"/>
      <c r="H12" s="15" t="s">
        <v>157</v>
      </c>
      <c r="I12" s="17" t="s">
        <v>61</v>
      </c>
      <c r="J12" s="17" t="s">
        <v>33</v>
      </c>
      <c r="K12" s="17" t="s">
        <v>52</v>
      </c>
      <c r="L12" s="9" t="n">
        <f aca="false">IF(J12="","",IF(J12=D12,1,0))</f>
        <v>1</v>
      </c>
      <c r="M12" s="9" t="n">
        <f aca="false">IF(K12="","",IF(K12=E12,1,0))</f>
        <v>1</v>
      </c>
      <c r="N12" s="9" t="n">
        <f aca="false">IF(OR(J12="",K12=""),"",IF(AND(J12=D12,K12=E12),1,0))</f>
        <v>1</v>
      </c>
      <c r="O12" s="8" t="n">
        <f aca="false">IF(OR(J12="",K12=""),"",IF(OR(N12=1,J12&amp;" / "&amp;K12=G12),1,0))</f>
        <v>1</v>
      </c>
      <c r="P12" s="8"/>
    </row>
    <row r="13" customFormat="false" ht="23.25" hidden="false" customHeight="true" outlineLevel="0" collapsed="false">
      <c r="A13" s="8" t="s">
        <v>158</v>
      </c>
      <c r="B13" s="8" t="s">
        <v>155</v>
      </c>
      <c r="C13" s="15" t="s">
        <v>159</v>
      </c>
      <c r="D13" s="16" t="s">
        <v>33</v>
      </c>
      <c r="E13" s="16" t="s">
        <v>34</v>
      </c>
      <c r="F13" s="8" t="str">
        <f aca="false">IF(E13="Alta","Sí","No")</f>
        <v>Sí</v>
      </c>
      <c r="G13" s="16"/>
      <c r="H13" s="15" t="s">
        <v>160</v>
      </c>
      <c r="I13" s="17" t="s">
        <v>63</v>
      </c>
      <c r="J13" s="17" t="s">
        <v>33</v>
      </c>
      <c r="K13" s="17" t="s">
        <v>34</v>
      </c>
      <c r="L13" s="9" t="n">
        <f aca="false">IF(J13="","",IF(J13=D13,1,0))</f>
        <v>1</v>
      </c>
      <c r="M13" s="9" t="n">
        <f aca="false">IF(K13="","",IF(K13=E13,1,0))</f>
        <v>1</v>
      </c>
      <c r="N13" s="9" t="n">
        <f aca="false">IF(OR(J13="",K13=""),"",IF(AND(J13=D13,K13=E13),1,0))</f>
        <v>1</v>
      </c>
      <c r="O13" s="8" t="n">
        <f aca="false">IF(OR(J13="",K13=""),"",IF(OR(N13=1,J13&amp;" / "&amp;K13=G13),1,0))</f>
        <v>1</v>
      </c>
      <c r="P13" s="8"/>
    </row>
    <row r="14" customFormat="false" ht="23.25" hidden="false" customHeight="true" outlineLevel="0" collapsed="false">
      <c r="A14" s="8" t="s">
        <v>161</v>
      </c>
      <c r="B14" s="8" t="s">
        <v>124</v>
      </c>
      <c r="C14" s="15" t="s">
        <v>162</v>
      </c>
      <c r="D14" s="16" t="s">
        <v>65</v>
      </c>
      <c r="E14" s="16" t="s">
        <v>34</v>
      </c>
      <c r="F14" s="8" t="str">
        <f aca="false">IF(E14="Alta","Sí","No")</f>
        <v>Sí</v>
      </c>
      <c r="G14" s="16"/>
      <c r="H14" s="15" t="s">
        <v>163</v>
      </c>
      <c r="I14" s="17" t="s">
        <v>66</v>
      </c>
      <c r="J14" s="17" t="s">
        <v>65</v>
      </c>
      <c r="K14" s="17" t="s">
        <v>34</v>
      </c>
      <c r="L14" s="9" t="n">
        <f aca="false">IF(J14="","",IF(J14=D14,1,0))</f>
        <v>1</v>
      </c>
      <c r="M14" s="9" t="n">
        <f aca="false">IF(K14="","",IF(K14=E14,1,0))</f>
        <v>1</v>
      </c>
      <c r="N14" s="9" t="n">
        <f aca="false">IF(OR(J14="",K14=""),"",IF(AND(J14=D14,K14=E14),1,0))</f>
        <v>1</v>
      </c>
      <c r="O14" s="8" t="n">
        <f aca="false">IF(OR(J14="",K14=""),"",IF(OR(N14=1,J14&amp;" / "&amp;K14=G14),1,0))</f>
        <v>1</v>
      </c>
      <c r="P14" s="8"/>
    </row>
    <row r="15" customFormat="false" ht="23.25" hidden="false" customHeight="true" outlineLevel="0" collapsed="false">
      <c r="A15" s="8" t="s">
        <v>164</v>
      </c>
      <c r="B15" s="8" t="s">
        <v>124</v>
      </c>
      <c r="C15" s="15" t="s">
        <v>165</v>
      </c>
      <c r="D15" s="16" t="s">
        <v>65</v>
      </c>
      <c r="E15" s="16" t="s">
        <v>34</v>
      </c>
      <c r="F15" s="8" t="str">
        <f aca="false">IF(E15="Alta","Sí","No")</f>
        <v>Sí</v>
      </c>
      <c r="G15" s="16"/>
      <c r="H15" s="15" t="s">
        <v>166</v>
      </c>
      <c r="I15" s="17" t="s">
        <v>68</v>
      </c>
      <c r="J15" s="17" t="s">
        <v>65</v>
      </c>
      <c r="K15" s="17" t="s">
        <v>34</v>
      </c>
      <c r="L15" s="9" t="n">
        <f aca="false">IF(J15="","",IF(J15=D15,1,0))</f>
        <v>1</v>
      </c>
      <c r="M15" s="9" t="n">
        <f aca="false">IF(K15="","",IF(K15=E15,1,0))</f>
        <v>1</v>
      </c>
      <c r="N15" s="9" t="n">
        <f aca="false">IF(OR(J15="",K15=""),"",IF(AND(J15=D15,K15=E15),1,0))</f>
        <v>1</v>
      </c>
      <c r="O15" s="8" t="n">
        <f aca="false">IF(OR(J15="",K15=""),"",IF(OR(N15=1,J15&amp;" / "&amp;K15=G15),1,0))</f>
        <v>1</v>
      </c>
      <c r="P15" s="8"/>
    </row>
    <row r="16" customFormat="false" ht="23.25" hidden="false" customHeight="true" outlineLevel="0" collapsed="false">
      <c r="A16" s="8" t="s">
        <v>167</v>
      </c>
      <c r="B16" s="8" t="s">
        <v>124</v>
      </c>
      <c r="C16" s="15" t="s">
        <v>168</v>
      </c>
      <c r="D16" s="16" t="s">
        <v>65</v>
      </c>
      <c r="E16" s="16" t="s">
        <v>34</v>
      </c>
      <c r="F16" s="8" t="str">
        <f aca="false">IF(E16="Alta","Sí","No")</f>
        <v>Sí</v>
      </c>
      <c r="G16" s="16"/>
      <c r="H16" s="15" t="s">
        <v>169</v>
      </c>
      <c r="I16" s="17" t="s">
        <v>70</v>
      </c>
      <c r="J16" s="17" t="s">
        <v>65</v>
      </c>
      <c r="K16" s="17" t="s">
        <v>34</v>
      </c>
      <c r="L16" s="9" t="n">
        <f aca="false">IF(J16="","",IF(J16=D16,1,0))</f>
        <v>1</v>
      </c>
      <c r="M16" s="9" t="n">
        <f aca="false">IF(K16="","",IF(K16=E16,1,0))</f>
        <v>1</v>
      </c>
      <c r="N16" s="9" t="n">
        <f aca="false">IF(OR(J16="",K16=""),"",IF(AND(J16=D16,K16=E16),1,0))</f>
        <v>1</v>
      </c>
      <c r="O16" s="8" t="n">
        <f aca="false">IF(OR(J16="",K16=""),"",IF(OR(N16=1,J16&amp;" / "&amp;K16=G16),1,0))</f>
        <v>1</v>
      </c>
      <c r="P16" s="8"/>
    </row>
    <row r="17" customFormat="false" ht="23.25" hidden="false" customHeight="true" outlineLevel="0" collapsed="false">
      <c r="A17" s="8" t="s">
        <v>170</v>
      </c>
      <c r="B17" s="8" t="s">
        <v>124</v>
      </c>
      <c r="C17" s="15" t="s">
        <v>171</v>
      </c>
      <c r="D17" s="16" t="s">
        <v>65</v>
      </c>
      <c r="E17" s="16" t="s">
        <v>43</v>
      </c>
      <c r="F17" s="8" t="str">
        <f aca="false">IF(E17="Alta","Sí","No")</f>
        <v>No</v>
      </c>
      <c r="G17" s="16"/>
      <c r="H17" s="15" t="s">
        <v>172</v>
      </c>
      <c r="I17" s="17" t="s">
        <v>72</v>
      </c>
      <c r="J17" s="17" t="s">
        <v>65</v>
      </c>
      <c r="K17" s="17" t="s">
        <v>43</v>
      </c>
      <c r="L17" s="9" t="n">
        <f aca="false">IF(J17="","",IF(J17=D17,1,0))</f>
        <v>1</v>
      </c>
      <c r="M17" s="9" t="n">
        <f aca="false">IF(K17="","",IF(K17=E17,1,0))</f>
        <v>1</v>
      </c>
      <c r="N17" s="9" t="n">
        <f aca="false">IF(OR(J17="",K17=""),"",IF(AND(J17=D17,K17=E17),1,0))</f>
        <v>1</v>
      </c>
      <c r="O17" s="8" t="n">
        <f aca="false">IF(OR(J17="",K17=""),"",IF(OR(N17=1,J17&amp;" / "&amp;K17=G17),1,0))</f>
        <v>1</v>
      </c>
      <c r="P17" s="8"/>
    </row>
    <row r="18" customFormat="false" ht="23.25" hidden="false" customHeight="true" outlineLevel="0" collapsed="false">
      <c r="A18" s="8" t="s">
        <v>173</v>
      </c>
      <c r="B18" s="8" t="s">
        <v>124</v>
      </c>
      <c r="C18" s="15" t="s">
        <v>174</v>
      </c>
      <c r="D18" s="16" t="s">
        <v>65</v>
      </c>
      <c r="E18" s="16" t="s">
        <v>43</v>
      </c>
      <c r="F18" s="8" t="str">
        <f aca="false">IF(E18="Alta","Sí","No")</f>
        <v>No</v>
      </c>
      <c r="G18" s="16"/>
      <c r="H18" s="15" t="s">
        <v>175</v>
      </c>
      <c r="I18" s="17" t="s">
        <v>74</v>
      </c>
      <c r="J18" s="17" t="s">
        <v>65</v>
      </c>
      <c r="K18" s="17" t="s">
        <v>43</v>
      </c>
      <c r="L18" s="9" t="n">
        <f aca="false">IF(J18="","",IF(J18=D18,1,0))</f>
        <v>1</v>
      </c>
      <c r="M18" s="9" t="n">
        <f aca="false">IF(K18="","",IF(K18=E18,1,0))</f>
        <v>1</v>
      </c>
      <c r="N18" s="9" t="n">
        <f aca="false">IF(OR(J18="",K18=""),"",IF(AND(J18=D18,K18=E18),1,0))</f>
        <v>1</v>
      </c>
      <c r="O18" s="8" t="n">
        <f aca="false">IF(OR(J18="",K18=""),"",IF(OR(N18=1,J18&amp;" / "&amp;K18=G18),1,0))</f>
        <v>1</v>
      </c>
      <c r="P18" s="8"/>
    </row>
    <row r="19" customFormat="false" ht="15" hidden="false" customHeight="true" outlineLevel="0" collapsed="false">
      <c r="A19" s="8" t="s">
        <v>176</v>
      </c>
      <c r="B19" s="8" t="s">
        <v>124</v>
      </c>
      <c r="C19" s="15" t="s">
        <v>177</v>
      </c>
      <c r="D19" s="16" t="s">
        <v>65</v>
      </c>
      <c r="E19" s="16" t="s">
        <v>52</v>
      </c>
      <c r="F19" s="8" t="str">
        <f aca="false">IF(E19="Alta","Sí","No")</f>
        <v>No</v>
      </c>
      <c r="G19" s="16"/>
      <c r="H19" s="15" t="s">
        <v>178</v>
      </c>
      <c r="I19" s="17" t="s">
        <v>76</v>
      </c>
      <c r="J19" s="17" t="s">
        <v>65</v>
      </c>
      <c r="K19" s="17" t="s">
        <v>52</v>
      </c>
      <c r="L19" s="9" t="n">
        <f aca="false">IF(J19="","",IF(J19=D19,1,0))</f>
        <v>1</v>
      </c>
      <c r="M19" s="9" t="n">
        <f aca="false">IF(K19="","",IF(K19=E19,1,0))</f>
        <v>1</v>
      </c>
      <c r="N19" s="9" t="n">
        <f aca="false">IF(OR(J19="",K19=""),"",IF(AND(J19=D19,K19=E19),1,0))</f>
        <v>1</v>
      </c>
      <c r="O19" s="8" t="n">
        <f aca="false">IF(OR(J19="",K19=""),"",IF(OR(N19=1,J19&amp;" / "&amp;K19=G19),1,0))</f>
        <v>1</v>
      </c>
      <c r="P19" s="8"/>
    </row>
    <row r="20" customFormat="false" ht="23.25" hidden="false" customHeight="true" outlineLevel="0" collapsed="false">
      <c r="A20" s="8" t="s">
        <v>179</v>
      </c>
      <c r="B20" s="8" t="s">
        <v>124</v>
      </c>
      <c r="C20" s="15" t="s">
        <v>180</v>
      </c>
      <c r="D20" s="16" t="s">
        <v>65</v>
      </c>
      <c r="E20" s="16" t="s">
        <v>52</v>
      </c>
      <c r="F20" s="8" t="str">
        <f aca="false">IF(E20="Alta","Sí","No")</f>
        <v>No</v>
      </c>
      <c r="G20" s="16"/>
      <c r="H20" s="15" t="s">
        <v>181</v>
      </c>
      <c r="I20" s="17" t="s">
        <v>78</v>
      </c>
      <c r="J20" s="17" t="s">
        <v>65</v>
      </c>
      <c r="K20" s="17" t="s">
        <v>52</v>
      </c>
      <c r="L20" s="9" t="n">
        <f aca="false">IF(J20="","",IF(J20=D20,1,0))</f>
        <v>1</v>
      </c>
      <c r="M20" s="9" t="n">
        <f aca="false">IF(K20="","",IF(K20=E20,1,0))</f>
        <v>1</v>
      </c>
      <c r="N20" s="9" t="n">
        <f aca="false">IF(OR(J20="",K20=""),"",IF(AND(J20=D20,K20=E20),1,0))</f>
        <v>1</v>
      </c>
      <c r="O20" s="8" t="n">
        <f aca="false">IF(OR(J20="",K20=""),"",IF(OR(N20=1,J20&amp;" / "&amp;K20=G20),1,0))</f>
        <v>1</v>
      </c>
      <c r="P20" s="8"/>
    </row>
    <row r="21" customFormat="false" ht="23.25" hidden="false" customHeight="true" outlineLevel="0" collapsed="false">
      <c r="A21" s="8" t="s">
        <v>182</v>
      </c>
      <c r="B21" s="8" t="s">
        <v>155</v>
      </c>
      <c r="C21" s="15" t="s">
        <v>183</v>
      </c>
      <c r="D21" s="16" t="s">
        <v>65</v>
      </c>
      <c r="E21" s="16" t="s">
        <v>34</v>
      </c>
      <c r="F21" s="8" t="str">
        <f aca="false">IF(E21="Alta","Sí","No")</f>
        <v>Sí</v>
      </c>
      <c r="G21" s="16" t="s">
        <v>184</v>
      </c>
      <c r="H21" s="15" t="s">
        <v>185</v>
      </c>
      <c r="I21" s="17" t="s">
        <v>80</v>
      </c>
      <c r="J21" s="17" t="s">
        <v>65</v>
      </c>
      <c r="K21" s="17" t="s">
        <v>34</v>
      </c>
      <c r="L21" s="9" t="n">
        <f aca="false">IF(J21="","",IF(J21=D21,1,0))</f>
        <v>1</v>
      </c>
      <c r="M21" s="9" t="n">
        <f aca="false">IF(K21="","",IF(K21=E21,1,0))</f>
        <v>1</v>
      </c>
      <c r="N21" s="9" t="n">
        <f aca="false">IF(OR(J21="",K21=""),"",IF(AND(J21=D21,K21=E21),1,0))</f>
        <v>1</v>
      </c>
      <c r="O21" s="8" t="n">
        <f aca="false">IF(OR(J21="",K21=""),"",IF(OR(N21=1,J21&amp;" / "&amp;K21=G21),1,0))</f>
        <v>1</v>
      </c>
      <c r="P21" s="8"/>
    </row>
    <row r="22" customFormat="false" ht="23.25" hidden="false" customHeight="true" outlineLevel="0" collapsed="false">
      <c r="A22" s="8" t="s">
        <v>186</v>
      </c>
      <c r="B22" s="8" t="s">
        <v>187</v>
      </c>
      <c r="C22" s="15" t="s">
        <v>188</v>
      </c>
      <c r="D22" s="16" t="s">
        <v>65</v>
      </c>
      <c r="E22" s="16" t="s">
        <v>34</v>
      </c>
      <c r="F22" s="8" t="str">
        <f aca="false">IF(E22="Alta","Sí","No")</f>
        <v>Sí</v>
      </c>
      <c r="G22" s="16" t="s">
        <v>189</v>
      </c>
      <c r="H22" s="15" t="s">
        <v>190</v>
      </c>
      <c r="I22" s="17" t="s">
        <v>82</v>
      </c>
      <c r="J22" s="17" t="s">
        <v>65</v>
      </c>
      <c r="K22" s="17" t="s">
        <v>34</v>
      </c>
      <c r="L22" s="9" t="n">
        <f aca="false">IF(J22="","",IF(J22=D22,1,0))</f>
        <v>1</v>
      </c>
      <c r="M22" s="9" t="n">
        <f aca="false">IF(K22="","",IF(K22=E22,1,0))</f>
        <v>1</v>
      </c>
      <c r="N22" s="9" t="n">
        <f aca="false">IF(OR(J22="",K22=""),"",IF(AND(J22=D22,K22=E22),1,0))</f>
        <v>1</v>
      </c>
      <c r="O22" s="8" t="n">
        <f aca="false">IF(OR(J22="",K22=""),"",IF(OR(N22=1,J22&amp;" / "&amp;K22=G22),1,0))</f>
        <v>1</v>
      </c>
      <c r="P22" s="8"/>
    </row>
    <row r="23" customFormat="false" ht="23.25" hidden="false" customHeight="true" outlineLevel="0" collapsed="false">
      <c r="A23" s="8" t="s">
        <v>191</v>
      </c>
      <c r="B23" s="8" t="s">
        <v>124</v>
      </c>
      <c r="C23" s="15" t="s">
        <v>192</v>
      </c>
      <c r="D23" s="16" t="s">
        <v>84</v>
      </c>
      <c r="E23" s="16" t="s">
        <v>34</v>
      </c>
      <c r="F23" s="8" t="str">
        <f aca="false">IF(E23="Alta","Sí","No")</f>
        <v>Sí</v>
      </c>
      <c r="G23" s="16"/>
      <c r="H23" s="15" t="s">
        <v>193</v>
      </c>
      <c r="I23" s="17" t="s">
        <v>85</v>
      </c>
      <c r="J23" s="17" t="s">
        <v>84</v>
      </c>
      <c r="K23" s="17" t="s">
        <v>34</v>
      </c>
      <c r="L23" s="9" t="n">
        <f aca="false">IF(J23="","",IF(J23=D23,1,0))</f>
        <v>1</v>
      </c>
      <c r="M23" s="9" t="n">
        <f aca="false">IF(K23="","",IF(K23=E23,1,0))</f>
        <v>1</v>
      </c>
      <c r="N23" s="9" t="n">
        <f aca="false">IF(OR(J23="",K23=""),"",IF(AND(J23=D23,K23=E23),1,0))</f>
        <v>1</v>
      </c>
      <c r="O23" s="8" t="n">
        <f aca="false">IF(OR(J23="",K23=""),"",IF(OR(N23=1,J23&amp;" / "&amp;K23=G23),1,0))</f>
        <v>1</v>
      </c>
      <c r="P23" s="8"/>
    </row>
    <row r="24" customFormat="false" ht="23.25" hidden="false" customHeight="true" outlineLevel="0" collapsed="false">
      <c r="A24" s="8" t="s">
        <v>194</v>
      </c>
      <c r="B24" s="8" t="s">
        <v>124</v>
      </c>
      <c r="C24" s="15" t="s">
        <v>195</v>
      </c>
      <c r="D24" s="16" t="s">
        <v>84</v>
      </c>
      <c r="E24" s="16" t="s">
        <v>43</v>
      </c>
      <c r="F24" s="8" t="str">
        <f aca="false">IF(E24="Alta","Sí","No")</f>
        <v>No</v>
      </c>
      <c r="G24" s="16"/>
      <c r="H24" s="15" t="s">
        <v>196</v>
      </c>
      <c r="I24" s="17" t="s">
        <v>87</v>
      </c>
      <c r="J24" s="17" t="s">
        <v>84</v>
      </c>
      <c r="K24" s="17" t="s">
        <v>43</v>
      </c>
      <c r="L24" s="9" t="n">
        <f aca="false">IF(J24="","",IF(J24=D24,1,0))</f>
        <v>1</v>
      </c>
      <c r="M24" s="9" t="n">
        <f aca="false">IF(K24="","",IF(K24=E24,1,0))</f>
        <v>1</v>
      </c>
      <c r="N24" s="9" t="n">
        <f aca="false">IF(OR(J24="",K24=""),"",IF(AND(J24=D24,K24=E24),1,0))</f>
        <v>1</v>
      </c>
      <c r="O24" s="8" t="n">
        <f aca="false">IF(OR(J24="",K24=""),"",IF(OR(N24=1,J24&amp;" / "&amp;K24=G24),1,0))</f>
        <v>1</v>
      </c>
      <c r="P24" s="8"/>
    </row>
    <row r="25" customFormat="false" ht="23.25" hidden="false" customHeight="true" outlineLevel="0" collapsed="false">
      <c r="A25" s="8" t="s">
        <v>197</v>
      </c>
      <c r="B25" s="8" t="s">
        <v>124</v>
      </c>
      <c r="C25" s="15" t="s">
        <v>198</v>
      </c>
      <c r="D25" s="16" t="s">
        <v>84</v>
      </c>
      <c r="E25" s="16" t="s">
        <v>43</v>
      </c>
      <c r="F25" s="8" t="str">
        <f aca="false">IF(E25="Alta","Sí","No")</f>
        <v>No</v>
      </c>
      <c r="G25" s="16"/>
      <c r="H25" s="15" t="s">
        <v>196</v>
      </c>
      <c r="I25" s="17" t="s">
        <v>89</v>
      </c>
      <c r="J25" s="17" t="s">
        <v>84</v>
      </c>
      <c r="K25" s="17" t="s">
        <v>43</v>
      </c>
      <c r="L25" s="9" t="n">
        <f aca="false">IF(J25="","",IF(J25=D25,1,0))</f>
        <v>1</v>
      </c>
      <c r="M25" s="9" t="n">
        <f aca="false">IF(K25="","",IF(K25=E25,1,0))</f>
        <v>1</v>
      </c>
      <c r="N25" s="9" t="n">
        <f aca="false">IF(OR(J25="",K25=""),"",IF(AND(J25=D25,K25=E25),1,0))</f>
        <v>1</v>
      </c>
      <c r="O25" s="8" t="n">
        <f aca="false">IF(OR(J25="",K25=""),"",IF(OR(N25=1,J25&amp;" / "&amp;K25=G25),1,0))</f>
        <v>1</v>
      </c>
      <c r="P25" s="8"/>
    </row>
    <row r="26" customFormat="false" ht="23.25" hidden="false" customHeight="true" outlineLevel="0" collapsed="false">
      <c r="A26" s="8" t="s">
        <v>199</v>
      </c>
      <c r="B26" s="8" t="s">
        <v>124</v>
      </c>
      <c r="C26" s="15" t="s">
        <v>200</v>
      </c>
      <c r="D26" s="16" t="s">
        <v>84</v>
      </c>
      <c r="E26" s="16" t="s">
        <v>52</v>
      </c>
      <c r="F26" s="8" t="str">
        <f aca="false">IF(E26="Alta","Sí","No")</f>
        <v>No</v>
      </c>
      <c r="G26" s="16"/>
      <c r="H26" s="15" t="s">
        <v>201</v>
      </c>
      <c r="I26" s="17" t="s">
        <v>91</v>
      </c>
      <c r="J26" s="17" t="s">
        <v>84</v>
      </c>
      <c r="K26" s="17" t="s">
        <v>52</v>
      </c>
      <c r="L26" s="9" t="n">
        <f aca="false">IF(J26="","",IF(J26=D26,1,0))</f>
        <v>1</v>
      </c>
      <c r="M26" s="9" t="n">
        <f aca="false">IF(K26="","",IF(K26=E26,1,0))</f>
        <v>1</v>
      </c>
      <c r="N26" s="9" t="n">
        <f aca="false">IF(OR(J26="",K26=""),"",IF(AND(J26=D26,K26=E26),1,0))</f>
        <v>1</v>
      </c>
      <c r="O26" s="8" t="n">
        <f aca="false">IF(OR(J26="",K26=""),"",IF(OR(N26=1,J26&amp;" / "&amp;K26=G26),1,0))</f>
        <v>1</v>
      </c>
      <c r="P26" s="8"/>
    </row>
    <row r="27" customFormat="false" ht="15" hidden="false" customHeight="true" outlineLevel="0" collapsed="false">
      <c r="A27" s="8" t="s">
        <v>202</v>
      </c>
      <c r="B27" s="8" t="s">
        <v>124</v>
      </c>
      <c r="C27" s="15" t="s">
        <v>203</v>
      </c>
      <c r="D27" s="16" t="s">
        <v>84</v>
      </c>
      <c r="E27" s="16" t="s">
        <v>52</v>
      </c>
      <c r="F27" s="8" t="str">
        <f aca="false">IF(E27="Alta","Sí","No")</f>
        <v>No</v>
      </c>
      <c r="G27" s="16"/>
      <c r="H27" s="15" t="s">
        <v>204</v>
      </c>
      <c r="I27" s="17" t="s">
        <v>93</v>
      </c>
      <c r="J27" s="17" t="s">
        <v>84</v>
      </c>
      <c r="K27" s="17" t="s">
        <v>52</v>
      </c>
      <c r="L27" s="9" t="n">
        <f aca="false">IF(J27="","",IF(J27=D27,1,0))</f>
        <v>1</v>
      </c>
      <c r="M27" s="9" t="n">
        <f aca="false">IF(K27="","",IF(K27=E27,1,0))</f>
        <v>1</v>
      </c>
      <c r="N27" s="9" t="n">
        <f aca="false">IF(OR(J27="",K27=""),"",IF(AND(J27=D27,K27=E27),1,0))</f>
        <v>1</v>
      </c>
      <c r="O27" s="8" t="n">
        <f aca="false">IF(OR(J27="",K27=""),"",IF(OR(N27=1,J27&amp;" / "&amp;K27=G27),1,0))</f>
        <v>1</v>
      </c>
      <c r="P27" s="8"/>
    </row>
    <row r="28" customFormat="false" ht="15" hidden="false" customHeight="true" outlineLevel="0" collapsed="false">
      <c r="A28" s="8" t="s">
        <v>205</v>
      </c>
      <c r="B28" s="8" t="s">
        <v>124</v>
      </c>
      <c r="C28" s="15" t="s">
        <v>206</v>
      </c>
      <c r="D28" s="16" t="s">
        <v>84</v>
      </c>
      <c r="E28" s="16" t="s">
        <v>52</v>
      </c>
      <c r="F28" s="8" t="str">
        <f aca="false">IF(E28="Alta","Sí","No")</f>
        <v>No</v>
      </c>
      <c r="G28" s="16"/>
      <c r="H28" s="15" t="s">
        <v>207</v>
      </c>
      <c r="I28" s="17" t="s">
        <v>95</v>
      </c>
      <c r="J28" s="17" t="s">
        <v>84</v>
      </c>
      <c r="K28" s="17" t="s">
        <v>52</v>
      </c>
      <c r="L28" s="9" t="n">
        <f aca="false">IF(J28="","",IF(J28=D28,1,0))</f>
        <v>1</v>
      </c>
      <c r="M28" s="9" t="n">
        <f aca="false">IF(K28="","",IF(K28=E28,1,0))</f>
        <v>1</v>
      </c>
      <c r="N28" s="9" t="n">
        <f aca="false">IF(OR(J28="",K28=""),"",IF(AND(J28=D28,K28=E28),1,0))</f>
        <v>1</v>
      </c>
      <c r="O28" s="8" t="n">
        <f aca="false">IF(OR(J28="",K28=""),"",IF(OR(N28=1,J28&amp;" / "&amp;K28=G28),1,0))</f>
        <v>1</v>
      </c>
      <c r="P28" s="8"/>
    </row>
    <row r="29" customFormat="false" ht="15" hidden="false" customHeight="true" outlineLevel="0" collapsed="false">
      <c r="A29" s="8" t="s">
        <v>208</v>
      </c>
      <c r="B29" s="8" t="s">
        <v>124</v>
      </c>
      <c r="C29" s="15" t="s">
        <v>209</v>
      </c>
      <c r="D29" s="16" t="s">
        <v>84</v>
      </c>
      <c r="E29" s="16" t="s">
        <v>52</v>
      </c>
      <c r="F29" s="8" t="str">
        <f aca="false">IF(E29="Alta","Sí","No")</f>
        <v>No</v>
      </c>
      <c r="G29" s="16"/>
      <c r="H29" s="15" t="s">
        <v>210</v>
      </c>
      <c r="I29" s="17" t="s">
        <v>97</v>
      </c>
      <c r="J29" s="17" t="s">
        <v>84</v>
      </c>
      <c r="K29" s="17" t="s">
        <v>52</v>
      </c>
      <c r="L29" s="9" t="n">
        <f aca="false">IF(J29="","",IF(J29=D29,1,0))</f>
        <v>1</v>
      </c>
      <c r="M29" s="9" t="n">
        <f aca="false">IF(K29="","",IF(K29=E29,1,0))</f>
        <v>1</v>
      </c>
      <c r="N29" s="9" t="n">
        <f aca="false">IF(OR(J29="",K29=""),"",IF(AND(J29=D29,K29=E29),1,0))</f>
        <v>1</v>
      </c>
      <c r="O29" s="8" t="n">
        <f aca="false">IF(OR(J29="",K29=""),"",IF(OR(N29=1,J29&amp;" / "&amp;K29=G29),1,0))</f>
        <v>1</v>
      </c>
      <c r="P29" s="8"/>
    </row>
    <row r="30" customFormat="false" ht="15" hidden="false" customHeight="true" outlineLevel="0" collapsed="false">
      <c r="A30" s="8" t="s">
        <v>211</v>
      </c>
      <c r="B30" s="8" t="s">
        <v>124</v>
      </c>
      <c r="C30" s="15" t="s">
        <v>212</v>
      </c>
      <c r="D30" s="16" t="s">
        <v>84</v>
      </c>
      <c r="E30" s="16" t="s">
        <v>52</v>
      </c>
      <c r="F30" s="8" t="str">
        <f aca="false">IF(E30="Alta","Sí","No")</f>
        <v>No</v>
      </c>
      <c r="G30" s="16"/>
      <c r="H30" s="15" t="s">
        <v>213</v>
      </c>
      <c r="I30" s="17" t="s">
        <v>99</v>
      </c>
      <c r="J30" s="17" t="s">
        <v>84</v>
      </c>
      <c r="K30" s="17" t="s">
        <v>52</v>
      </c>
      <c r="L30" s="9" t="n">
        <f aca="false">IF(J30="","",IF(J30=D30,1,0))</f>
        <v>1</v>
      </c>
      <c r="M30" s="9" t="n">
        <f aca="false">IF(K30="","",IF(K30=E30,1,0))</f>
        <v>1</v>
      </c>
      <c r="N30" s="9" t="n">
        <f aca="false">IF(OR(J30="",K30=""),"",IF(AND(J30=D30,K30=E30),1,0))</f>
        <v>1</v>
      </c>
      <c r="O30" s="8" t="n">
        <f aca="false">IF(OR(J30="",K30=""),"",IF(OR(N30=1,J30&amp;" / "&amp;K30=G30),1,0))</f>
        <v>1</v>
      </c>
      <c r="P30" s="8"/>
    </row>
    <row r="31" customFormat="false" ht="23.25" hidden="false" customHeight="true" outlineLevel="0" collapsed="false">
      <c r="A31" s="8" t="s">
        <v>214</v>
      </c>
      <c r="B31" s="8" t="s">
        <v>187</v>
      </c>
      <c r="C31" s="15" t="s">
        <v>215</v>
      </c>
      <c r="D31" s="16" t="s">
        <v>84</v>
      </c>
      <c r="E31" s="16" t="s">
        <v>34</v>
      </c>
      <c r="F31" s="8" t="str">
        <f aca="false">IF(E31="Alta","Sí","No")</f>
        <v>Sí</v>
      </c>
      <c r="G31" s="16" t="s">
        <v>216</v>
      </c>
      <c r="H31" s="15" t="s">
        <v>217</v>
      </c>
      <c r="I31" s="17" t="s">
        <v>101</v>
      </c>
      <c r="J31" s="17" t="s">
        <v>33</v>
      </c>
      <c r="K31" s="17" t="s">
        <v>34</v>
      </c>
      <c r="L31" s="9" t="n">
        <f aca="false">IF(J31="","",IF(J31=D31,1,0))</f>
        <v>0</v>
      </c>
      <c r="M31" s="9" t="n">
        <f aca="false">IF(K31="","",IF(K31=E31,1,0))</f>
        <v>1</v>
      </c>
      <c r="N31" s="9" t="n">
        <f aca="false">IF(OR(J31="",K31=""),"",IF(AND(J31=D31,K31=E31),1,0))</f>
        <v>0</v>
      </c>
      <c r="O31" s="8" t="n">
        <f aca="false">IF(OR(J31="",K31=""),"",IF(OR(N31=1,J31&amp;" / "&amp;K31=G31),1,0))</f>
        <v>1</v>
      </c>
      <c r="P31" s="19" t="s">
        <v>218</v>
      </c>
    </row>
  </sheetData>
  <autoFilter ref="A1:P31"/>
  <conditionalFormatting sqref="L2:L31">
    <cfRule type="expression" priority="2" aboveAverage="0" equalAverage="0" bottom="0" percent="0" rank="0" text="" dxfId="10">
      <formula>L2=1</formula>
    </cfRule>
    <cfRule type="expression" priority="3" aboveAverage="0" equalAverage="0" bottom="0" percent="0" rank="0" text="" dxfId="11">
      <formula>AND(L2&lt;&gt;"",L2=0)</formula>
    </cfRule>
  </conditionalFormatting>
  <conditionalFormatting sqref="M2:M31">
    <cfRule type="expression" priority="4" aboveAverage="0" equalAverage="0" bottom="0" percent="0" rank="0" text="" dxfId="10">
      <formula>M2=1</formula>
    </cfRule>
    <cfRule type="expression" priority="5" aboveAverage="0" equalAverage="0" bottom="0" percent="0" rank="0" text="" dxfId="11">
      <formula>AND(M2&lt;&gt;"",M2=0)</formula>
    </cfRule>
  </conditionalFormatting>
  <conditionalFormatting sqref="N2:N31">
    <cfRule type="expression" priority="6" aboveAverage="0" equalAverage="0" bottom="0" percent="0" rank="0" text="" dxfId="10">
      <formula>N2=1</formula>
    </cfRule>
    <cfRule type="expression" priority="7" aboveAverage="0" equalAverage="0" bottom="0" percent="0" rank="0" text="" dxfId="11">
      <formula>AND(N2&lt;&gt;"",N2=0)</formula>
    </cfRule>
  </conditionalFormatting>
  <conditionalFormatting sqref="O2:O31">
    <cfRule type="expression" priority="8" aboveAverage="0" equalAverage="0" bottom="0" percent="0" rank="0" text="" dxfId="10">
      <formula>O2=1</formula>
    </cfRule>
    <cfRule type="expression" priority="9" aboveAverage="0" equalAverage="0" bottom="0" percent="0" rank="0" text="" dxfId="11">
      <formula>AND(O2&lt;&gt;"",O2=0)</formula>
    </cfRule>
  </conditionalFormatting>
  <dataValidations count="2">
    <dataValidation allowBlank="true" errorStyle="stop" operator="between" showDropDown="false" showErrorMessage="false" showInputMessage="false" sqref="J2:J31" type="list">
      <formula1>"Avería,Reclamación,Otro"</formula1>
      <formula2>0</formula2>
    </dataValidation>
    <dataValidation allowBlank="true" errorStyle="stop" operator="between" showDropDown="false" showErrorMessage="false" showInputMessage="false" sqref="K2:K31" type="list">
      <formula1>"Alta,Media,Baja"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6" min="2" style="1" width="14"/>
  </cols>
  <sheetData>
    <row r="1" customFormat="false" ht="17.25" hidden="false" customHeight="true" outlineLevel="0" collapsed="false">
      <c r="A1" s="20" t="s">
        <v>219</v>
      </c>
    </row>
    <row r="3" customFormat="false" ht="15" hidden="false" customHeight="true" outlineLevel="0" collapsed="false">
      <c r="A3" s="7" t="s">
        <v>220</v>
      </c>
      <c r="B3" s="7" t="s">
        <v>221</v>
      </c>
      <c r="C3" s="7" t="s">
        <v>222</v>
      </c>
      <c r="D3" s="7" t="s">
        <v>223</v>
      </c>
    </row>
    <row r="4" customFormat="false" ht="15" hidden="false" customHeight="true" outlineLevel="0" collapsed="false">
      <c r="A4" s="21" t="s">
        <v>224</v>
      </c>
      <c r="B4" s="8" t="n">
        <f aca="false">SUM(Casos!L2:L31)</f>
        <v>29</v>
      </c>
      <c r="C4" s="8" t="n">
        <f aca="false">COUNT(Casos!L2:L31)</f>
        <v>30</v>
      </c>
      <c r="D4" s="22" t="n">
        <f aca="false">IF(C4=0,"-",B4/C4)</f>
        <v>0.966666666666667</v>
      </c>
    </row>
    <row r="5" customFormat="false" ht="15" hidden="false" customHeight="true" outlineLevel="0" collapsed="false">
      <c r="A5" s="21" t="s">
        <v>225</v>
      </c>
      <c r="B5" s="8" t="n">
        <f aca="false">SUM(Casos!M2:M31)</f>
        <v>30</v>
      </c>
      <c r="C5" s="8" t="n">
        <f aca="false">COUNT(Casos!M2:M31)</f>
        <v>30</v>
      </c>
      <c r="D5" s="22" t="n">
        <f aca="false">IF(C5=0,"-",B5/C5)</f>
        <v>1</v>
      </c>
    </row>
    <row r="6" customFormat="false" ht="15" hidden="false" customHeight="true" outlineLevel="0" collapsed="false">
      <c r="A6" s="21" t="s">
        <v>226</v>
      </c>
      <c r="B6" s="8" t="n">
        <f aca="false">SUM(Casos!N2:N31)</f>
        <v>29</v>
      </c>
      <c r="C6" s="8" t="n">
        <f aca="false">COUNT(Casos!N2:N31)</f>
        <v>30</v>
      </c>
      <c r="D6" s="22" t="n">
        <f aca="false">IF(C6=0,"-",B6/C6)</f>
        <v>0.966666666666667</v>
      </c>
    </row>
    <row r="7" customFormat="false" ht="15" hidden="false" customHeight="true" outlineLevel="0" collapsed="false">
      <c r="A7" s="21" t="s">
        <v>227</v>
      </c>
      <c r="B7" s="8" t="n">
        <f aca="false">SUM(Casos!O2:O31)</f>
        <v>30</v>
      </c>
      <c r="C7" s="8" t="n">
        <f aca="false">COUNT(Casos!O2:O31)</f>
        <v>30</v>
      </c>
      <c r="D7" s="22" t="n">
        <f aca="false">IF(C7=0,"-",B7/C7)</f>
        <v>1</v>
      </c>
    </row>
    <row r="10" customFormat="false" ht="15" hidden="false" customHeight="true" outlineLevel="0" collapsed="false">
      <c r="A10" s="7" t="s">
        <v>228</v>
      </c>
      <c r="B10" s="7" t="s">
        <v>221</v>
      </c>
      <c r="C10" s="7" t="s">
        <v>222</v>
      </c>
      <c r="D10" s="7" t="s">
        <v>223</v>
      </c>
    </row>
    <row r="11" customFormat="false" ht="15" hidden="false" customHeight="true" outlineLevel="0" collapsed="false">
      <c r="A11" s="21" t="s">
        <v>124</v>
      </c>
      <c r="B11" s="8" t="n">
        <f aca="false">SUMIFS(Casos!$N$2:$N$31,Casos!$B$2:$B$31,"Clara")</f>
        <v>25</v>
      </c>
      <c r="C11" s="8" t="n">
        <f aca="false">COUNTIFS(Casos!$B$2:$B$31,"Clara",Casos!$N$2:$N$31,"&gt;=0")</f>
        <v>25</v>
      </c>
      <c r="D11" s="22" t="n">
        <f aca="false">IF(C11=0,"-",B11/C11)</f>
        <v>1</v>
      </c>
    </row>
    <row r="12" customFormat="false" ht="15" hidden="false" customHeight="true" outlineLevel="0" collapsed="false">
      <c r="A12" s="21" t="s">
        <v>155</v>
      </c>
      <c r="B12" s="8" t="n">
        <f aca="false">SUMIFS(Casos!$N$2:$N$31,Casos!$B$2:$B$31,"Frontera")</f>
        <v>3</v>
      </c>
      <c r="C12" s="8" t="n">
        <f aca="false">COUNTIFS(Casos!$B$2:$B$31,"Frontera",Casos!$N$2:$N$31,"&gt;=0")</f>
        <v>3</v>
      </c>
      <c r="D12" s="22" t="n">
        <f aca="false">IF(C12=0,"-",B12/C12)</f>
        <v>1</v>
      </c>
    </row>
    <row r="13" customFormat="false" ht="15" hidden="false" customHeight="true" outlineLevel="0" collapsed="false">
      <c r="A13" s="21" t="s">
        <v>187</v>
      </c>
      <c r="B13" s="8" t="n">
        <f aca="false">SUMIFS(Casos!$N$2:$N$31,Casos!$B$2:$B$31,"Ambigua")</f>
        <v>1</v>
      </c>
      <c r="C13" s="8" t="n">
        <f aca="false">COUNTIFS(Casos!$B$2:$B$31,"Ambigua",Casos!$N$2:$N$31,"&gt;=0")</f>
        <v>2</v>
      </c>
      <c r="D13" s="22" t="n">
        <f aca="false">IF(C13=0,"-",B13/C13)</f>
        <v>0.5</v>
      </c>
    </row>
    <row r="16" customFormat="false" ht="15" hidden="false" customHeight="true" outlineLevel="0" collapsed="false">
      <c r="A16" s="23" t="s">
        <v>229</v>
      </c>
    </row>
    <row r="17" customFormat="false" ht="15" hidden="false" customHeight="true" outlineLevel="0" collapsed="false">
      <c r="A17" s="7" t="s">
        <v>230</v>
      </c>
      <c r="B17" s="7" t="s">
        <v>34</v>
      </c>
      <c r="C17" s="7" t="s">
        <v>43</v>
      </c>
      <c r="D17" s="7" t="s">
        <v>52</v>
      </c>
      <c r="E17" s="7" t="s">
        <v>231</v>
      </c>
    </row>
    <row r="18" customFormat="false" ht="15" hidden="false" customHeight="true" outlineLevel="0" collapsed="false">
      <c r="A18" s="24" t="s">
        <v>34</v>
      </c>
      <c r="B18" s="8" t="n">
        <f aca="false">COUNTIFS(Casos!$E$2:$E$31,"Alta",Casos!$K$2:$K$31,"Alta")</f>
        <v>11</v>
      </c>
      <c r="C18" s="8" t="n">
        <f aca="false">COUNTIFS(Casos!$E$2:$E$31,"Alta",Casos!$K$2:$K$31,"Media")</f>
        <v>0</v>
      </c>
      <c r="D18" s="8" t="n">
        <f aca="false">COUNTIFS(Casos!$E$2:$E$31,"Alta",Casos!$K$2:$K$31,"Baja")</f>
        <v>0</v>
      </c>
      <c r="E18" s="8" t="n">
        <f aca="false">SUM(B18:D18)</f>
        <v>11</v>
      </c>
    </row>
    <row r="19" customFormat="false" ht="15" hidden="false" customHeight="true" outlineLevel="0" collapsed="false">
      <c r="A19" s="24" t="s">
        <v>43</v>
      </c>
      <c r="B19" s="8" t="n">
        <f aca="false">COUNTIFS(Casos!$E$2:$E$31,"Media",Casos!$K$2:$K$31,"Alta")</f>
        <v>0</v>
      </c>
      <c r="C19" s="8" t="n">
        <f aca="false">COUNTIFS(Casos!$E$2:$E$31,"Media",Casos!$K$2:$K$31,"Media")</f>
        <v>7</v>
      </c>
      <c r="D19" s="8" t="n">
        <f aca="false">COUNTIFS(Casos!$E$2:$E$31,"Media",Casos!$K$2:$K$31,"Baja")</f>
        <v>0</v>
      </c>
      <c r="E19" s="8" t="n">
        <f aca="false">SUM(B19:D19)</f>
        <v>7</v>
      </c>
    </row>
    <row r="20" customFormat="false" ht="15" hidden="false" customHeight="true" outlineLevel="0" collapsed="false">
      <c r="A20" s="24" t="s">
        <v>52</v>
      </c>
      <c r="B20" s="8" t="n">
        <f aca="false">COUNTIFS(Casos!$E$2:$E$31,"Baja",Casos!$K$2:$K$31,"Alta")</f>
        <v>0</v>
      </c>
      <c r="C20" s="8" t="n">
        <f aca="false">COUNTIFS(Casos!$E$2:$E$31,"Baja",Casos!$K$2:$K$31,"Media")</f>
        <v>0</v>
      </c>
      <c r="D20" s="8" t="n">
        <f aca="false">COUNTIFS(Casos!$E$2:$E$31,"Baja",Casos!$K$2:$K$31,"Baja")</f>
        <v>12</v>
      </c>
      <c r="E20" s="8" t="n">
        <f aca="false">SUM(B20:D20)</f>
        <v>12</v>
      </c>
    </row>
    <row r="21" customFormat="false" ht="15" hidden="false" customHeight="true" outlineLevel="0" collapsed="false">
      <c r="A21" s="24" t="s">
        <v>231</v>
      </c>
      <c r="B21" s="8" t="n">
        <f aca="false">SUM(B18:B20)</f>
        <v>11</v>
      </c>
      <c r="C21" s="8" t="n">
        <f aca="false">SUM(C18:C20)</f>
        <v>7</v>
      </c>
      <c r="D21" s="8" t="n">
        <f aca="false">SUM(D18:D20)</f>
        <v>12</v>
      </c>
      <c r="E21" s="8" t="n">
        <f aca="false">SUM(E18:E20)</f>
        <v>30</v>
      </c>
    </row>
    <row r="24" customFormat="false" ht="15" hidden="false" customHeight="true" outlineLevel="0" collapsed="false">
      <c r="A24" s="23" t="s">
        <v>232</v>
      </c>
    </row>
    <row r="25" customFormat="false" ht="15" hidden="false" customHeight="true" outlineLevel="0" collapsed="false">
      <c r="A25" s="7" t="s">
        <v>233</v>
      </c>
      <c r="B25" s="7" t="s">
        <v>33</v>
      </c>
      <c r="C25" s="7" t="s">
        <v>65</v>
      </c>
      <c r="D25" s="7" t="s">
        <v>84</v>
      </c>
      <c r="E25" s="7" t="s">
        <v>231</v>
      </c>
    </row>
    <row r="26" customFormat="false" ht="15" hidden="false" customHeight="true" outlineLevel="0" collapsed="false">
      <c r="A26" s="24" t="s">
        <v>33</v>
      </c>
      <c r="B26" s="8" t="n">
        <f aca="false">COUNTIFS(Casos!$D$2:$D$31,"Avería",Casos!$J$2:$J$31,"Avería")</f>
        <v>12</v>
      </c>
      <c r="C26" s="8" t="n">
        <f aca="false">COUNTIFS(Casos!$D$2:$D$31,"Avería",Casos!$J$2:$J$31,"Reclamación")</f>
        <v>0</v>
      </c>
      <c r="D26" s="8" t="n">
        <f aca="false">COUNTIFS(Casos!$D$2:$D$31,"Avería",Casos!$J$2:$J$31,"Otro")</f>
        <v>0</v>
      </c>
      <c r="E26" s="8" t="n">
        <f aca="false">SUM(B26:D26)</f>
        <v>12</v>
      </c>
    </row>
    <row r="27" customFormat="false" ht="15" hidden="false" customHeight="true" outlineLevel="0" collapsed="false">
      <c r="A27" s="24" t="s">
        <v>65</v>
      </c>
      <c r="B27" s="8" t="n">
        <f aca="false">COUNTIFS(Casos!$D$2:$D$31,"Reclamación",Casos!$J$2:$J$31,"Avería")</f>
        <v>0</v>
      </c>
      <c r="C27" s="8" t="n">
        <f aca="false">COUNTIFS(Casos!$D$2:$D$31,"Reclamación",Casos!$J$2:$J$31,"Reclamación")</f>
        <v>9</v>
      </c>
      <c r="D27" s="8" t="n">
        <f aca="false">COUNTIFS(Casos!$D$2:$D$31,"Reclamación",Casos!$J$2:$J$31,"Otro")</f>
        <v>0</v>
      </c>
      <c r="E27" s="8" t="n">
        <f aca="false">SUM(B27:D27)</f>
        <v>9</v>
      </c>
    </row>
    <row r="28" customFormat="false" ht="15" hidden="false" customHeight="true" outlineLevel="0" collapsed="false">
      <c r="A28" s="24" t="s">
        <v>84</v>
      </c>
      <c r="B28" s="8" t="n">
        <f aca="false">COUNTIFS(Casos!$D$2:$D$31,"Otro",Casos!$J$2:$J$31,"Avería")</f>
        <v>1</v>
      </c>
      <c r="C28" s="8" t="n">
        <f aca="false">COUNTIFS(Casos!$D$2:$D$31,"Otro",Casos!$J$2:$J$31,"Reclamación")</f>
        <v>0</v>
      </c>
      <c r="D28" s="8" t="n">
        <f aca="false">COUNTIFS(Casos!$D$2:$D$31,"Otro",Casos!$J$2:$J$31,"Otro")</f>
        <v>8</v>
      </c>
      <c r="E28" s="8" t="n">
        <f aca="false">SUM(B28:D28)</f>
        <v>9</v>
      </c>
    </row>
    <row r="29" customFormat="false" ht="15" hidden="false" customHeight="true" outlineLevel="0" collapsed="false">
      <c r="A29" s="24" t="s">
        <v>231</v>
      </c>
      <c r="B29" s="8" t="n">
        <f aca="false">SUM(B26:B28)</f>
        <v>13</v>
      </c>
      <c r="C29" s="8" t="n">
        <f aca="false">SUM(C26:C28)</f>
        <v>9</v>
      </c>
      <c r="D29" s="8" t="n">
        <f aca="false">SUM(D26:D28)</f>
        <v>8</v>
      </c>
      <c r="E29" s="8" t="n">
        <f aca="false">SUM(E26:E28)</f>
        <v>30</v>
      </c>
    </row>
    <row r="32" customFormat="false" ht="15" hidden="false" customHeight="true" outlineLevel="0" collapsed="false">
      <c r="A32" s="23" t="s">
        <v>234</v>
      </c>
    </row>
    <row r="33" customFormat="false" ht="15" hidden="false" customHeight="true" outlineLevel="0" collapsed="false">
      <c r="A33" s="7" t="s">
        <v>235</v>
      </c>
      <c r="B33" s="7" t="s">
        <v>236</v>
      </c>
    </row>
    <row r="34" customFormat="false" ht="15" hidden="false" customHeight="true" outlineLevel="0" collapsed="false">
      <c r="A34" s="21" t="s">
        <v>237</v>
      </c>
      <c r="B34" s="8" t="n">
        <f aca="false">COUNTIFS(Casos!$E$2:$E$31,"Alta",Casos!$K$2:$K$31,"Alta")</f>
        <v>11</v>
      </c>
    </row>
    <row r="35" customFormat="false" ht="15" hidden="false" customHeight="true" outlineLevel="0" collapsed="false">
      <c r="A35" s="21" t="s">
        <v>238</v>
      </c>
      <c r="B35" s="8" t="n">
        <f aca="false">COUNTIFS(Casos!$E$2:$E$31,"Alta",Casos!$K$2:$K$31,"&lt;&gt;Alta",Casos!$K$2:$K$31,"&lt;&gt;")</f>
        <v>0</v>
      </c>
    </row>
    <row r="36" customFormat="false" ht="15" hidden="false" customHeight="true" outlineLevel="0" collapsed="false">
      <c r="A36" s="21" t="s">
        <v>239</v>
      </c>
      <c r="B36" s="8" t="n">
        <f aca="false">COUNTIFS(Casos!$E$2:$E$31,"&lt;&gt;Alta",Casos!$K$2:$K$31,"Alta")</f>
        <v>0</v>
      </c>
    </row>
    <row r="38" customFormat="false" ht="15" hidden="false" customHeight="true" outlineLevel="0" collapsed="false">
      <c r="A38" s="25" t="s">
        <v>240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2026-10-15T08:55:20Z</dcterms:created>
  <dc:creator>openpyxl</dc:creator>
  <dc:description/>
  <dc:language>en-US</dc:language>
  <cp:lastModifiedBy/>
  <dcterms:modified xsi:type="dcterms:W3CDTF">2026-10-15T10:15:21Z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