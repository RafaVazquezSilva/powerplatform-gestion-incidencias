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sos" sheetId="2" state="visible" r:id="rId4"/>
    <sheet name="Resumen" sheetId="3" state="visible" r:id="rId5"/>
  </sheets>
  <definedNames>
    <definedName function="false" hidden="true" localSheetId="1" name="_xlnm._FilterDatabase" vbProcedure="false">Casos!$A$1:$P$16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<sst xmlns="http://schemas.openxmlformats.org/spreadsheetml/2006/main" count="218" uniqueCount="129">
  <si>
    <t xml:space="preserve">Conjunto de VALIDACIÓN independiente — Clasificación AudioVital (Flujo 1, prompt v2)</t>
  </si>
  <si>
    <t xml:space="preserve">Proyecto de portafolio con datos ficticios. Autor: José Rafael Vázquez Silva.</t>
  </si>
  <si>
    <t xml:space="preserve">Objetivo</t>
  </si>
  <si>
    <t xml:space="preserve">Medir cómo clasifica el Flujo 1 (gpt-4.1-mini, temperatura 0, json_object, prompt con criterios documentales) 15 incidencias NUEVAS, redactadas después de cerrar el prompt v2 y sin usarse para ajustarlo. Su resultado es la estimación no sesgada de la precisión.</t>
  </si>
  <si>
    <t xml:space="preserve">Composición</t>
  </si>
  <si>
    <t xml:space="preserve">15 casos: 6 Avería, 4 Reclamación, 5 Otro (VAL-15 esperado Avería). 8 claros, 4 de frontera y 3 ambiguos. Redacción más realista: sin tildes, mensajes escuetos, una felicitación y una petición mixta.</t>
  </si>
  <si>
    <t xml:space="preserve">Los casos de frontera y ambiguos tienen una 'Alternativa aceptable'. Se mide el acierto estricto (solo el esperado) y el acierto con alternativas.</t>
  </si>
  <si>
    <t xml:space="preserve">Cómo rellenarlo</t>
  </si>
  <si>
    <t xml:space="preserve">1. Cargar las 15 descripciones en Dataverse (archivo val_importar_incidencias.csv) y dejar que el Flujo 1 las clasifique.</t>
  </si>
  <si>
    <t xml:space="preserve">2. En la hoja 'Casos', rellenar SOLO las celdas amarillas: INC asignada, Tipo obtenido y Prioridad obtenida (hay desplegables).</t>
  </si>
  <si>
    <t xml:space="preserve">3. Las columnas de acierto y la hoja 'Resumen' se calculan solas con fórmulas.</t>
  </si>
  <si>
    <t xml:space="preserve">Leyenda</t>
  </si>
  <si>
    <t xml:space="preserve">Celdas amarillas = datos a rellenar con lo que devolvió el flujo. Texto azul = valores esperados fijados de antemano.</t>
  </si>
  <si>
    <t xml:space="preserve">La fila EV-01 lleva un ejemplo de formato en gris en la columna 'Notas'; puede borrarse.</t>
  </si>
  <si>
    <t xml:space="preserve">ID</t>
  </si>
  <si>
    <t xml:space="preserve">Categoría</t>
  </si>
  <si>
    <t xml:space="preserve">Descripción de la incidencia</t>
  </si>
  <si>
    <t xml:space="preserve">Tipo esperado</t>
  </si>
  <si>
    <t xml:space="preserve">Prioridad esperada</t>
  </si>
  <si>
    <t xml:space="preserve">Escalado esperado</t>
  </si>
  <si>
    <t xml:space="preserve">Alternativa aceptable</t>
  </si>
  <si>
    <t xml:space="preserve">Criterio (fuente)</t>
  </si>
  <si>
    <t xml:space="preserve">INC asignada</t>
  </si>
  <si>
    <t xml:space="preserve">Tipo obtenido</t>
  </si>
  <si>
    <t xml:space="preserve">Prioridad obtenida</t>
  </si>
  <si>
    <t xml:space="preserve">Acierto Tipo</t>
  </si>
  <si>
    <t xml:space="preserve">Acierto Prioridad</t>
  </si>
  <si>
    <t xml:space="preserve">Acierto completo</t>
  </si>
  <si>
    <t xml:space="preserve">Acierto con alternativa</t>
  </si>
  <si>
    <t xml:space="preserve">Notas</t>
  </si>
  <si>
    <t xml:space="preserve">VAL-01</t>
  </si>
  <si>
    <t xml:space="preserve">Frontera</t>
  </si>
  <si>
    <t xml:space="preserve">buenas, el audifono derecho no suena nada desde el lunes, el izquierdo va bien</t>
  </si>
  <si>
    <t xml:space="preserve">Avería</t>
  </si>
  <si>
    <t xml:space="preserve">Media</t>
  </si>
  <si>
    <t xml:space="preserve">Avería / Alta</t>
  </si>
  <si>
    <t xml:space="preserve">Frontera: un aparato sin sonido pero el otro funciona; ¿pérdida en un canal (Media) o severa (Alta)?</t>
  </si>
  <si>
    <t xml:space="preserve">INC-0072</t>
  </si>
  <si>
    <t xml:space="preserve">Alta</t>
  </si>
  <si>
    <t xml:space="preserve">Clasificado Alta (alternativa). Error en la dirección segura: escala de más, no de menos.</t>
  </si>
  <si>
    <t xml:space="preserve">VAL-02</t>
  </si>
  <si>
    <t xml:space="preserve">Clara</t>
  </si>
  <si>
    <t xml:space="preserve">Se me cayó el audífono al agua en la playa y ya no funciona. Necesito oír bien para un juicio el jueves, pasado mañana.</t>
  </si>
  <si>
    <t xml:space="preserve">procedimiento_averias: no funciona + evento impostergable &lt; 48 h</t>
  </si>
  <si>
    <t xml:space="preserve">INC-0073</t>
  </si>
  <si>
    <t xml:space="preserve">VAL-03</t>
  </si>
  <si>
    <t xml:space="preserve">Cuando hablo por teléfono se oye un zumbido todo el rato; en la calle va bien.</t>
  </si>
  <si>
    <t xml:space="preserve">procedimiento_averias: fallo parcial que reduce la calidad</t>
  </si>
  <si>
    <t xml:space="preserve">INC-0074</t>
  </si>
  <si>
    <t xml:space="preserve">VAL-04</t>
  </si>
  <si>
    <t xml:space="preserve">El molde me roza y me hace daño en la oreja después de un rato.</t>
  </si>
  <si>
    <t xml:space="preserve">Baja</t>
  </si>
  <si>
    <t xml:space="preserve">procedimiento_averias: molde, no afecta a la audición</t>
  </si>
  <si>
    <t xml:space="preserve">INC-0075</t>
  </si>
  <si>
    <t xml:space="preserve">VAL-05</t>
  </si>
  <si>
    <t xml:space="preserve">El cargador no enciende la luz y el audífono no carga. Me queda batería para hoy.</t>
  </si>
  <si>
    <t xml:space="preserve">Frontera: hoy funciona, pero mañana se quedará sin audición</t>
  </si>
  <si>
    <t xml:space="preserve">INC-0076</t>
  </si>
  <si>
    <t xml:space="preserve">VAL-06</t>
  </si>
  <si>
    <t xml:space="preserve">Ambigua</t>
  </si>
  <si>
    <t xml:space="preserve">Os pagué la reparación hace un mes y sigue igual de mal. Quiero que me devolváis los 120 euros.</t>
  </si>
  <si>
    <t xml:space="preserve">Reclamación</t>
  </si>
  <si>
    <t xml:space="preserve">Avería / Media</t>
  </si>
  <si>
    <t xml:space="preserve">Ambigua: avería persistente + exige devolución económica</t>
  </si>
  <si>
    <t xml:space="preserve">INC-0077</t>
  </si>
  <si>
    <t xml:space="preserve">VAL-07</t>
  </si>
  <si>
    <t xml:space="preserve">No entiendo por qué la factura de este mes es más alta que la del anterior.</t>
  </si>
  <si>
    <t xml:space="preserve">Otro / Baja</t>
  </si>
  <si>
    <t xml:space="preserve">Frontera queja/consulta sobre un cobro sin exigir devolución</t>
  </si>
  <si>
    <t xml:space="preserve">INC-0078</t>
  </si>
  <si>
    <t xml:space="preserve">VAL-08</t>
  </si>
  <si>
    <t xml:space="preserve">Me han cobrado dos veces el seguro del audífono, 45 € cada vez.</t>
  </si>
  <si>
    <t xml:space="preserve">politica_reclamaciones: cobro duplicado</t>
  </si>
  <si>
    <t xml:space="preserve">INC-0079</t>
  </si>
  <si>
    <t xml:space="preserve">VAL-09</t>
  </si>
  <si>
    <t xml:space="preserve">Nadie me avisó de que la garantía no cubría las caídas. Me siento engañado.</t>
  </si>
  <si>
    <t xml:space="preserve">Reclamación / Baja</t>
  </si>
  <si>
    <t xml:space="preserve">Frontera: disconformidad con condición contractual vs. queja de comunicación</t>
  </si>
  <si>
    <t xml:space="preserve">INC-0080</t>
  </si>
  <si>
    <t xml:space="preserve">Baja en vez de Media (alternativa). La política no separa bien "condición contractual" de "queja de comunicación".</t>
  </si>
  <si>
    <t xml:space="preserve">VAL-10</t>
  </si>
  <si>
    <t xml:space="preserve">La chica de la tienda me trató fenomenal, solo quería decíroslo.</t>
  </si>
  <si>
    <t xml:space="preserve">Otro</t>
  </si>
  <si>
    <t xml:space="preserve">Trampa: felicitación, no es una queja</t>
  </si>
  <si>
    <t xml:space="preserve">INC-0081</t>
  </si>
  <si>
    <t xml:space="preserve">Felicitación clasificada como Reclamación: la taxonomía no tiene categoría para opiniones positivas. Prioridad correcta.</t>
  </si>
  <si>
    <t xml:space="preserve">VAL-11</t>
  </si>
  <si>
    <t xml:space="preserve">Mañana a las 9 tengo cita y estoy con fiebre, no voy a poder ir.</t>
  </si>
  <si>
    <t xml:space="preserve">cambios_citas: cita en menos de 24 h y no puede acudir</t>
  </si>
  <si>
    <t xml:space="preserve">INC-0082</t>
  </si>
  <si>
    <t xml:space="preserve">VAL-12</t>
  </si>
  <si>
    <t xml:space="preserve">Quería saber si hacéis revisiones a domicilio para mi madre, que tiene 90 años.</t>
  </si>
  <si>
    <t xml:space="preserve">Consulta informativa</t>
  </si>
  <si>
    <t xml:space="preserve">INC-0083</t>
  </si>
  <si>
    <t xml:space="preserve">VAL-13</t>
  </si>
  <si>
    <t xml:space="preserve">¿Puedo adelantar la entrega del audífono? Empiezo a trabajar el lunes y lo necesito.</t>
  </si>
  <si>
    <t xml:space="preserve">cambios_citas: adelantar por motivo justificado</t>
  </si>
  <si>
    <t xml:space="preserve">INC-0084</t>
  </si>
  <si>
    <t xml:space="preserve">VAL-14</t>
  </si>
  <si>
    <t xml:space="preserve">Cambiar cita revision. Gracias</t>
  </si>
  <si>
    <t xml:space="preserve">cambios_citas: cambio estándar, mensaje escueto y sin tildes</t>
  </si>
  <si>
    <t xml:space="preserve">INC-0085</t>
  </si>
  <si>
    <t xml:space="preserve">VAL-15</t>
  </si>
  <si>
    <t xml:space="preserve">Aprovecho para pedir cita, y además el audífono lleva dos días sin sonar en ninguno de los dos oídos.</t>
  </si>
  <si>
    <t xml:space="preserve">Otro / Alta</t>
  </si>
  <si>
    <t xml:space="preserve">Ambigua: petición de cita + avería total; prima la avería</t>
  </si>
  <si>
    <t xml:space="preserve">INC-0086</t>
  </si>
  <si>
    <t xml:space="preserve">Resumen de la evaluación</t>
  </si>
  <si>
    <t xml:space="preserve">Métrica</t>
  </si>
  <si>
    <t xml:space="preserve">Aciertos</t>
  </si>
  <si>
    <t xml:space="preserve">Evaluados</t>
  </si>
  <si>
    <t xml:space="preserve">Precisión</t>
  </si>
  <si>
    <t xml:space="preserve">Tipo</t>
  </si>
  <si>
    <t xml:space="preserve">Prioridad</t>
  </si>
  <si>
    <t xml:space="preserve">Completo (Tipo y Prioridad)</t>
  </si>
  <si>
    <t xml:space="preserve">Completo con alternativas</t>
  </si>
  <si>
    <t xml:space="preserve">Acierto completo por categoría</t>
  </si>
  <si>
    <t xml:space="preserve">Matriz de confusión — Prioridad (filas: esperada · columnas: obtenida)</t>
  </si>
  <si>
    <t xml:space="preserve">Esperada \ Obtenida</t>
  </si>
  <si>
    <t xml:space="preserve">Total</t>
  </si>
  <si>
    <t xml:space="preserve">Matriz de confusión — Tipo (filas: esperado · columnas: obtenido)</t>
  </si>
  <si>
    <t xml:space="preserve">Esperado \ Obtenido</t>
  </si>
  <si>
    <t xml:space="preserve">Escalado (prioridad Alta) — impacto operativo</t>
  </si>
  <si>
    <t xml:space="preserve">Caso</t>
  </si>
  <si>
    <t xml:space="preserve">Nº</t>
  </si>
  <si>
    <t xml:space="preserve">Alta esperada y detectada (escalado correcto)</t>
  </si>
  <si>
    <t xml:space="preserve">Alta esperada NO detectada (escalado perdido)</t>
  </si>
  <si>
    <t xml:space="preserve">Escalado innecesario (no Alta clasificada como Alta)</t>
  </si>
  <si>
    <t xml:space="preserve">Un escalado perdido es el error más grave: una incidencia crítica no llega al supervisor.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</si>
</sst>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3.2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4</v>
      </c>
    </row>
    <row r="8" customFormat="false" ht="23.2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5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11</v>
      </c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55"/>
    <col collapsed="false" customWidth="true" hidden="false" outlineLevel="0" max="4" min="4" style="1" width="13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7" min="7" style="1" width="18"/>
    <col collapsed="false" customWidth="true" hidden="false" outlineLevel="0" max="8" min="8" style="1" width="45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4" min="13" style="1" width="11"/>
    <col collapsed="false" customWidth="true" hidden="false" outlineLevel="0" max="15" min="15" style="1" width="13"/>
    <col collapsed="false" customWidth="true" hidden="false" outlineLevel="0" max="16" min="16" style="1" width="30"/>
  </cols>
  <sheetData>
    <row r="1" customFormat="false" ht="31.5" hidden="false" customHeight="true" outlineLevel="0" collapsed="false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</row>
    <row r="2" customFormat="false" ht="23.25" hidden="false" customHeight="true" outlineLevel="0" collapsed="false">
      <c r="A2" s="7" t="s">
        <v>30</v>
      </c>
      <c r="B2" s="7" t="s">
        <v>31</v>
      </c>
      <c r="C2" s="8" t="s">
        <v>32</v>
      </c>
      <c r="D2" s="9" t="s">
        <v>33</v>
      </c>
      <c r="E2" s="9" t="s">
        <v>34</v>
      </c>
      <c r="F2" s="7" t="str">
        <f aca="false">IF(E2="Alta","Sí","No")</f>
        <v>No</v>
      </c>
      <c r="G2" s="9" t="s">
        <v>35</v>
      </c>
      <c r="H2" s="8" t="s">
        <v>36</v>
      </c>
      <c r="I2" s="10" t="s">
        <v>37</v>
      </c>
      <c r="J2" s="10" t="s">
        <v>33</v>
      </c>
      <c r="K2" s="10" t="s">
        <v>38</v>
      </c>
      <c r="L2" s="11" t="n">
        <f aca="false">IF(J2="","",IF(J2=D2,1,0))</f>
        <v>1</v>
      </c>
      <c r="M2" s="11" t="n">
        <f aca="false">IF(K2="","",IF(K2=E2,1,0))</f>
        <v>0</v>
      </c>
      <c r="N2" s="11" t="n">
        <f aca="false">IF(OR(J2="",K2=""),"",IF(AND(J2=D2,K2=E2),1,0))</f>
        <v>0</v>
      </c>
      <c r="O2" s="11" t="n">
        <f aca="false">IF(OR(J2="",K2=""),"",IF(OR(N2=1,J2&amp;" / "&amp;K2=G2),1,0))</f>
        <v>1</v>
      </c>
      <c r="P2" s="12" t="s">
        <v>39</v>
      </c>
    </row>
    <row r="3" customFormat="false" ht="23.25" hidden="false" customHeight="true" outlineLevel="0" collapsed="false">
      <c r="A3" s="7" t="s">
        <v>40</v>
      </c>
      <c r="B3" s="7" t="s">
        <v>41</v>
      </c>
      <c r="C3" s="8" t="s">
        <v>42</v>
      </c>
      <c r="D3" s="9" t="s">
        <v>33</v>
      </c>
      <c r="E3" s="9" t="s">
        <v>38</v>
      </c>
      <c r="F3" s="7" t="str">
        <f aca="false">IF(E3="Alta","Sí","No")</f>
        <v>Sí</v>
      </c>
      <c r="G3" s="9"/>
      <c r="H3" s="8" t="s">
        <v>43</v>
      </c>
      <c r="I3" s="10" t="s">
        <v>44</v>
      </c>
      <c r="J3" s="10" t="s">
        <v>33</v>
      </c>
      <c r="K3" s="10" t="s">
        <v>38</v>
      </c>
      <c r="L3" s="11" t="n">
        <f aca="false">IF(J3="","",IF(J3=D3,1,0))</f>
        <v>1</v>
      </c>
      <c r="M3" s="11" t="n">
        <f aca="false">IF(K3="","",IF(K3=E3,1,0))</f>
        <v>1</v>
      </c>
      <c r="N3" s="11" t="n">
        <f aca="false">IF(OR(J3="",K3=""),"",IF(AND(J3=D3,K3=E3),1,0))</f>
        <v>1</v>
      </c>
      <c r="O3" s="11" t="n">
        <f aca="false">IF(OR(J3="",K3=""),"",IF(OR(N3=1,J3&amp;" / "&amp;K3=G3),1,0))</f>
        <v>1</v>
      </c>
      <c r="P3" s="7"/>
    </row>
    <row r="4" customFormat="false" ht="23.25" hidden="false" customHeight="true" outlineLevel="0" collapsed="false">
      <c r="A4" s="7" t="s">
        <v>45</v>
      </c>
      <c r="B4" s="7" t="s">
        <v>41</v>
      </c>
      <c r="C4" s="8" t="s">
        <v>46</v>
      </c>
      <c r="D4" s="9" t="s">
        <v>33</v>
      </c>
      <c r="E4" s="9" t="s">
        <v>34</v>
      </c>
      <c r="F4" s="7" t="str">
        <f aca="false">IF(E4="Alta","Sí","No")</f>
        <v>No</v>
      </c>
      <c r="G4" s="9"/>
      <c r="H4" s="8" t="s">
        <v>47</v>
      </c>
      <c r="I4" s="10" t="s">
        <v>48</v>
      </c>
      <c r="J4" s="10" t="s">
        <v>33</v>
      </c>
      <c r="K4" s="10" t="s">
        <v>34</v>
      </c>
      <c r="L4" s="11" t="n">
        <f aca="false">IF(J4="","",IF(J4=D4,1,0))</f>
        <v>1</v>
      </c>
      <c r="M4" s="11" t="n">
        <f aca="false">IF(K4="","",IF(K4=E4,1,0))</f>
        <v>1</v>
      </c>
      <c r="N4" s="11" t="n">
        <f aca="false">IF(OR(J4="",K4=""),"",IF(AND(J4=D4,K4=E4),1,0))</f>
        <v>1</v>
      </c>
      <c r="O4" s="11" t="n">
        <f aca="false">IF(OR(J4="",K4=""),"",IF(OR(N4=1,J4&amp;" / "&amp;K4=G4),1,0))</f>
        <v>1</v>
      </c>
      <c r="P4" s="7"/>
    </row>
    <row r="5" customFormat="false" ht="15" hidden="false" customHeight="true" outlineLevel="0" collapsed="false">
      <c r="A5" s="7" t="s">
        <v>49</v>
      </c>
      <c r="B5" s="7" t="s">
        <v>41</v>
      </c>
      <c r="C5" s="8" t="s">
        <v>50</v>
      </c>
      <c r="D5" s="9" t="s">
        <v>33</v>
      </c>
      <c r="E5" s="9" t="s">
        <v>51</v>
      </c>
      <c r="F5" s="7" t="str">
        <f aca="false">IF(E5="Alta","Sí","No")</f>
        <v>No</v>
      </c>
      <c r="G5" s="9"/>
      <c r="H5" s="8" t="s">
        <v>52</v>
      </c>
      <c r="I5" s="10" t="s">
        <v>53</v>
      </c>
      <c r="J5" s="10" t="s">
        <v>33</v>
      </c>
      <c r="K5" s="10" t="s">
        <v>51</v>
      </c>
      <c r="L5" s="11" t="n">
        <f aca="false">IF(J5="","",IF(J5=D5,1,0))</f>
        <v>1</v>
      </c>
      <c r="M5" s="11" t="n">
        <f aca="false">IF(K5="","",IF(K5=E5,1,0))</f>
        <v>1</v>
      </c>
      <c r="N5" s="11" t="n">
        <f aca="false">IF(OR(J5="",K5=""),"",IF(AND(J5=D5,K5=E5),1,0))</f>
        <v>1</v>
      </c>
      <c r="O5" s="11" t="n">
        <f aca="false">IF(OR(J5="",K5=""),"",IF(OR(N5=1,J5&amp;" / "&amp;K5=G5),1,0))</f>
        <v>1</v>
      </c>
      <c r="P5" s="7"/>
    </row>
    <row r="6" customFormat="false" ht="23.25" hidden="false" customHeight="true" outlineLevel="0" collapsed="false">
      <c r="A6" s="7" t="s">
        <v>54</v>
      </c>
      <c r="B6" s="7" t="s">
        <v>31</v>
      </c>
      <c r="C6" s="8" t="s">
        <v>55</v>
      </c>
      <c r="D6" s="9" t="s">
        <v>33</v>
      </c>
      <c r="E6" s="9" t="s">
        <v>34</v>
      </c>
      <c r="F6" s="7" t="str">
        <f aca="false">IF(E6="Alta","Sí","No")</f>
        <v>No</v>
      </c>
      <c r="G6" s="9" t="s">
        <v>35</v>
      </c>
      <c r="H6" s="8" t="s">
        <v>56</v>
      </c>
      <c r="I6" s="10" t="s">
        <v>57</v>
      </c>
      <c r="J6" s="10" t="s">
        <v>33</v>
      </c>
      <c r="K6" s="10" t="s">
        <v>34</v>
      </c>
      <c r="L6" s="11" t="n">
        <f aca="false">IF(J6="","",IF(J6=D6,1,0))</f>
        <v>1</v>
      </c>
      <c r="M6" s="11" t="n">
        <f aca="false">IF(K6="","",IF(K6=E6,1,0))</f>
        <v>1</v>
      </c>
      <c r="N6" s="11" t="n">
        <f aca="false">IF(OR(J6="",K6=""),"",IF(AND(J6=D6,K6=E6),1,0))</f>
        <v>1</v>
      </c>
      <c r="O6" s="11" t="n">
        <f aca="false">IF(OR(J6="",K6=""),"",IF(OR(N6=1,J6&amp;" / "&amp;K6=G6),1,0))</f>
        <v>1</v>
      </c>
      <c r="P6" s="7"/>
    </row>
    <row r="7" customFormat="false" ht="23.25" hidden="false" customHeight="true" outlineLevel="0" collapsed="false">
      <c r="A7" s="7" t="s">
        <v>58</v>
      </c>
      <c r="B7" s="7" t="s">
        <v>59</v>
      </c>
      <c r="C7" s="8" t="s">
        <v>60</v>
      </c>
      <c r="D7" s="9" t="s">
        <v>61</v>
      </c>
      <c r="E7" s="9" t="s">
        <v>38</v>
      </c>
      <c r="F7" s="7" t="str">
        <f aca="false">IF(E7="Alta","Sí","No")</f>
        <v>Sí</v>
      </c>
      <c r="G7" s="9" t="s">
        <v>62</v>
      </c>
      <c r="H7" s="8" t="s">
        <v>63</v>
      </c>
      <c r="I7" s="10" t="s">
        <v>64</v>
      </c>
      <c r="J7" s="10" t="s">
        <v>61</v>
      </c>
      <c r="K7" s="10" t="s">
        <v>38</v>
      </c>
      <c r="L7" s="11" t="n">
        <f aca="false">IF(J7="","",IF(J7=D7,1,0))</f>
        <v>1</v>
      </c>
      <c r="M7" s="11" t="n">
        <f aca="false">IF(K7="","",IF(K7=E7,1,0))</f>
        <v>1</v>
      </c>
      <c r="N7" s="11" t="n">
        <f aca="false">IF(OR(J7="",K7=""),"",IF(AND(J7=D7,K7=E7),1,0))</f>
        <v>1</v>
      </c>
      <c r="O7" s="11" t="n">
        <f aca="false">IF(OR(J7="",K7=""),"",IF(OR(N7=1,J7&amp;" / "&amp;K7=G7),1,0))</f>
        <v>1</v>
      </c>
      <c r="P7" s="7"/>
    </row>
    <row r="8" customFormat="false" ht="23.25" hidden="false" customHeight="true" outlineLevel="0" collapsed="false">
      <c r="A8" s="7" t="s">
        <v>65</v>
      </c>
      <c r="B8" s="7" t="s">
        <v>31</v>
      </c>
      <c r="C8" s="8" t="s">
        <v>66</v>
      </c>
      <c r="D8" s="9" t="s">
        <v>61</v>
      </c>
      <c r="E8" s="9" t="s">
        <v>34</v>
      </c>
      <c r="F8" s="7" t="str">
        <f aca="false">IF(E8="Alta","Sí","No")</f>
        <v>No</v>
      </c>
      <c r="G8" s="9" t="s">
        <v>67</v>
      </c>
      <c r="H8" s="8" t="s">
        <v>68</v>
      </c>
      <c r="I8" s="10" t="s">
        <v>69</v>
      </c>
      <c r="J8" s="10" t="s">
        <v>61</v>
      </c>
      <c r="K8" s="10" t="s">
        <v>34</v>
      </c>
      <c r="L8" s="11" t="n">
        <f aca="false">IF(J8="","",IF(J8=D8,1,0))</f>
        <v>1</v>
      </c>
      <c r="M8" s="11" t="n">
        <f aca="false">IF(K8="","",IF(K8=E8,1,0))</f>
        <v>1</v>
      </c>
      <c r="N8" s="11" t="n">
        <f aca="false">IF(OR(J8="",K8=""),"",IF(AND(J8=D8,K8=E8),1,0))</f>
        <v>1</v>
      </c>
      <c r="O8" s="11" t="n">
        <f aca="false">IF(OR(J8="",K8=""),"",IF(OR(N8=1,J8&amp;" / "&amp;K8=G8),1,0))</f>
        <v>1</v>
      </c>
      <c r="P8" s="7"/>
    </row>
    <row r="9" customFormat="false" ht="15" hidden="false" customHeight="true" outlineLevel="0" collapsed="false">
      <c r="A9" s="7" t="s">
        <v>70</v>
      </c>
      <c r="B9" s="7" t="s">
        <v>41</v>
      </c>
      <c r="C9" s="8" t="s">
        <v>71</v>
      </c>
      <c r="D9" s="9" t="s">
        <v>61</v>
      </c>
      <c r="E9" s="9" t="s">
        <v>38</v>
      </c>
      <c r="F9" s="7" t="str">
        <f aca="false">IF(E9="Alta","Sí","No")</f>
        <v>Sí</v>
      </c>
      <c r="G9" s="9"/>
      <c r="H9" s="8" t="s">
        <v>72</v>
      </c>
      <c r="I9" s="10" t="s">
        <v>73</v>
      </c>
      <c r="J9" s="10" t="s">
        <v>61</v>
      </c>
      <c r="K9" s="10" t="s">
        <v>38</v>
      </c>
      <c r="L9" s="11" t="n">
        <f aca="false">IF(J9="","",IF(J9=D9,1,0))</f>
        <v>1</v>
      </c>
      <c r="M9" s="11" t="n">
        <f aca="false">IF(K9="","",IF(K9=E9,1,0))</f>
        <v>1</v>
      </c>
      <c r="N9" s="11" t="n">
        <f aca="false">IF(OR(J9="",K9=""),"",IF(AND(J9=D9,K9=E9),1,0))</f>
        <v>1</v>
      </c>
      <c r="O9" s="11" t="n">
        <f aca="false">IF(OR(J9="",K9=""),"",IF(OR(N9=1,J9&amp;" / "&amp;K9=G9),1,0))</f>
        <v>1</v>
      </c>
      <c r="P9" s="7"/>
    </row>
    <row r="10" customFormat="false" ht="23.25" hidden="false" customHeight="true" outlineLevel="0" collapsed="false">
      <c r="A10" s="7" t="s">
        <v>74</v>
      </c>
      <c r="B10" s="7" t="s">
        <v>31</v>
      </c>
      <c r="C10" s="8" t="s">
        <v>75</v>
      </c>
      <c r="D10" s="9" t="s">
        <v>61</v>
      </c>
      <c r="E10" s="9" t="s">
        <v>34</v>
      </c>
      <c r="F10" s="7" t="str">
        <f aca="false">IF(E10="Alta","Sí","No")</f>
        <v>No</v>
      </c>
      <c r="G10" s="9" t="s">
        <v>76</v>
      </c>
      <c r="H10" s="8" t="s">
        <v>77</v>
      </c>
      <c r="I10" s="10" t="s">
        <v>78</v>
      </c>
      <c r="J10" s="10" t="s">
        <v>61</v>
      </c>
      <c r="K10" s="10" t="s">
        <v>51</v>
      </c>
      <c r="L10" s="11" t="n">
        <f aca="false">IF(J10="","",IF(J10=D10,1,0))</f>
        <v>1</v>
      </c>
      <c r="M10" s="11" t="n">
        <f aca="false">IF(K10="","",IF(K10=E10,1,0))</f>
        <v>0</v>
      </c>
      <c r="N10" s="11" t="n">
        <f aca="false">IF(OR(J10="",K10=""),"",IF(AND(J10=D10,K10=E10),1,0))</f>
        <v>0</v>
      </c>
      <c r="O10" s="11" t="n">
        <f aca="false">IF(OR(J10="",K10=""),"",IF(OR(N10=1,J10&amp;" / "&amp;K10=G10),1,0))</f>
        <v>1</v>
      </c>
      <c r="P10" s="12" t="s">
        <v>79</v>
      </c>
    </row>
    <row r="11" customFormat="false" ht="15" hidden="false" customHeight="true" outlineLevel="0" collapsed="false">
      <c r="A11" s="7" t="s">
        <v>80</v>
      </c>
      <c r="B11" s="7" t="s">
        <v>59</v>
      </c>
      <c r="C11" s="8" t="s">
        <v>81</v>
      </c>
      <c r="D11" s="9" t="s">
        <v>82</v>
      </c>
      <c r="E11" s="9" t="s">
        <v>51</v>
      </c>
      <c r="F11" s="7" t="str">
        <f aca="false">IF(E11="Alta","Sí","No")</f>
        <v>No</v>
      </c>
      <c r="G11" s="9" t="s">
        <v>76</v>
      </c>
      <c r="H11" s="8" t="s">
        <v>83</v>
      </c>
      <c r="I11" s="10" t="s">
        <v>84</v>
      </c>
      <c r="J11" s="10" t="s">
        <v>61</v>
      </c>
      <c r="K11" s="10" t="s">
        <v>51</v>
      </c>
      <c r="L11" s="11" t="n">
        <f aca="false">IF(J11="","",IF(J11=D11,1,0))</f>
        <v>0</v>
      </c>
      <c r="M11" s="11" t="n">
        <f aca="false">IF(K11="","",IF(K11=E11,1,0))</f>
        <v>1</v>
      </c>
      <c r="N11" s="11" t="n">
        <f aca="false">IF(OR(J11="",K11=""),"",IF(AND(J11=D11,K11=E11),1,0))</f>
        <v>0</v>
      </c>
      <c r="O11" s="11" t="n">
        <f aca="false">IF(OR(J11="",K11=""),"",IF(OR(N11=1,J11&amp;" / "&amp;K11=G11),1,0))</f>
        <v>1</v>
      </c>
      <c r="P11" s="12" t="s">
        <v>85</v>
      </c>
    </row>
    <row r="12" customFormat="false" ht="23.25" hidden="false" customHeight="true" outlineLevel="0" collapsed="false">
      <c r="A12" s="7" t="s">
        <v>86</v>
      </c>
      <c r="B12" s="7" t="s">
        <v>41</v>
      </c>
      <c r="C12" s="8" t="s">
        <v>87</v>
      </c>
      <c r="D12" s="9" t="s">
        <v>82</v>
      </c>
      <c r="E12" s="9" t="s">
        <v>38</v>
      </c>
      <c r="F12" s="7" t="str">
        <f aca="false">IF(E12="Alta","Sí","No")</f>
        <v>Sí</v>
      </c>
      <c r="G12" s="9"/>
      <c r="H12" s="8" t="s">
        <v>88</v>
      </c>
      <c r="I12" s="10" t="s">
        <v>89</v>
      </c>
      <c r="J12" s="10" t="s">
        <v>82</v>
      </c>
      <c r="K12" s="10" t="s">
        <v>38</v>
      </c>
      <c r="L12" s="11" t="n">
        <f aca="false">IF(J12="","",IF(J12=D12,1,0))</f>
        <v>1</v>
      </c>
      <c r="M12" s="11" t="n">
        <f aca="false">IF(K12="","",IF(K12=E12,1,0))</f>
        <v>1</v>
      </c>
      <c r="N12" s="11" t="n">
        <f aca="false">IF(OR(J12="",K12=""),"",IF(AND(J12=D12,K12=E12),1,0))</f>
        <v>1</v>
      </c>
      <c r="O12" s="11" t="n">
        <f aca="false">IF(OR(J12="",K12=""),"",IF(OR(N12=1,J12&amp;" / "&amp;K12=G12),1,0))</f>
        <v>1</v>
      </c>
      <c r="P12" s="7"/>
    </row>
    <row r="13" customFormat="false" ht="23.25" hidden="false" customHeight="true" outlineLevel="0" collapsed="false">
      <c r="A13" s="7" t="s">
        <v>90</v>
      </c>
      <c r="B13" s="7" t="s">
        <v>41</v>
      </c>
      <c r="C13" s="8" t="s">
        <v>91</v>
      </c>
      <c r="D13" s="9" t="s">
        <v>82</v>
      </c>
      <c r="E13" s="9" t="s">
        <v>51</v>
      </c>
      <c r="F13" s="7" t="str">
        <f aca="false">IF(E13="Alta","Sí","No")</f>
        <v>No</v>
      </c>
      <c r="G13" s="9"/>
      <c r="H13" s="8" t="s">
        <v>92</v>
      </c>
      <c r="I13" s="10" t="s">
        <v>93</v>
      </c>
      <c r="J13" s="10" t="s">
        <v>82</v>
      </c>
      <c r="K13" s="10" t="s">
        <v>51</v>
      </c>
      <c r="L13" s="11" t="n">
        <f aca="false">IF(J13="","",IF(J13=D13,1,0))</f>
        <v>1</v>
      </c>
      <c r="M13" s="11" t="n">
        <f aca="false">IF(K13="","",IF(K13=E13,1,0))</f>
        <v>1</v>
      </c>
      <c r="N13" s="11" t="n">
        <f aca="false">IF(OR(J13="",K13=""),"",IF(AND(J13=D13,K13=E13),1,0))</f>
        <v>1</v>
      </c>
      <c r="O13" s="11" t="n">
        <f aca="false">IF(OR(J13="",K13=""),"",IF(OR(N13=1,J13&amp;" / "&amp;K13=G13),1,0))</f>
        <v>1</v>
      </c>
      <c r="P13" s="7"/>
    </row>
    <row r="14" customFormat="false" ht="23.25" hidden="false" customHeight="true" outlineLevel="0" collapsed="false">
      <c r="A14" s="7" t="s">
        <v>94</v>
      </c>
      <c r="B14" s="7" t="s">
        <v>41</v>
      </c>
      <c r="C14" s="8" t="s">
        <v>95</v>
      </c>
      <c r="D14" s="9" t="s">
        <v>82</v>
      </c>
      <c r="E14" s="9" t="s">
        <v>34</v>
      </c>
      <c r="F14" s="7" t="str">
        <f aca="false">IF(E14="Alta","Sí","No")</f>
        <v>No</v>
      </c>
      <c r="G14" s="9"/>
      <c r="H14" s="8" t="s">
        <v>96</v>
      </c>
      <c r="I14" s="10" t="s">
        <v>97</v>
      </c>
      <c r="J14" s="10" t="s">
        <v>82</v>
      </c>
      <c r="K14" s="10" t="s">
        <v>34</v>
      </c>
      <c r="L14" s="11" t="n">
        <f aca="false">IF(J14="","",IF(J14=D14,1,0))</f>
        <v>1</v>
      </c>
      <c r="M14" s="11" t="n">
        <f aca="false">IF(K14="","",IF(K14=E14,1,0))</f>
        <v>1</v>
      </c>
      <c r="N14" s="11" t="n">
        <f aca="false">IF(OR(J14="",K14=""),"",IF(AND(J14=D14,K14=E14),1,0))</f>
        <v>1</v>
      </c>
      <c r="O14" s="11" t="n">
        <f aca="false">IF(OR(J14="",K14=""),"",IF(OR(N14=1,J14&amp;" / "&amp;K14=G14),1,0))</f>
        <v>1</v>
      </c>
      <c r="P14" s="7"/>
    </row>
    <row r="15" customFormat="false" ht="23.25" hidden="false" customHeight="true" outlineLevel="0" collapsed="false">
      <c r="A15" s="7" t="s">
        <v>98</v>
      </c>
      <c r="B15" s="7" t="s">
        <v>41</v>
      </c>
      <c r="C15" s="8" t="s">
        <v>99</v>
      </c>
      <c r="D15" s="9" t="s">
        <v>82</v>
      </c>
      <c r="E15" s="9" t="s">
        <v>51</v>
      </c>
      <c r="F15" s="7" t="str">
        <f aca="false">IF(E15="Alta","Sí","No")</f>
        <v>No</v>
      </c>
      <c r="G15" s="9"/>
      <c r="H15" s="8" t="s">
        <v>100</v>
      </c>
      <c r="I15" s="10" t="s">
        <v>101</v>
      </c>
      <c r="J15" s="10" t="s">
        <v>82</v>
      </c>
      <c r="K15" s="10" t="s">
        <v>51</v>
      </c>
      <c r="L15" s="11" t="n">
        <f aca="false">IF(J15="","",IF(J15=D15,1,0))</f>
        <v>1</v>
      </c>
      <c r="M15" s="11" t="n">
        <f aca="false">IF(K15="","",IF(K15=E15,1,0))</f>
        <v>1</v>
      </c>
      <c r="N15" s="11" t="n">
        <f aca="false">IF(OR(J15="",K15=""),"",IF(AND(J15=D15,K15=E15),1,0))</f>
        <v>1</v>
      </c>
      <c r="O15" s="11" t="n">
        <f aca="false">IF(OR(J15="",K15=""),"",IF(OR(N15=1,J15&amp;" / "&amp;K15=G15),1,0))</f>
        <v>1</v>
      </c>
      <c r="P15" s="7"/>
    </row>
    <row r="16" customFormat="false" ht="23.25" hidden="false" customHeight="true" outlineLevel="0" collapsed="false">
      <c r="A16" s="7" t="s">
        <v>102</v>
      </c>
      <c r="B16" s="7" t="s">
        <v>59</v>
      </c>
      <c r="C16" s="8" t="s">
        <v>103</v>
      </c>
      <c r="D16" s="9" t="s">
        <v>33</v>
      </c>
      <c r="E16" s="9" t="s">
        <v>38</v>
      </c>
      <c r="F16" s="7" t="str">
        <f aca="false">IF(E16="Alta","Sí","No")</f>
        <v>Sí</v>
      </c>
      <c r="G16" s="9" t="s">
        <v>104</v>
      </c>
      <c r="H16" s="8" t="s">
        <v>105</v>
      </c>
      <c r="I16" s="10" t="s">
        <v>106</v>
      </c>
      <c r="J16" s="10" t="s">
        <v>33</v>
      </c>
      <c r="K16" s="10" t="s">
        <v>38</v>
      </c>
      <c r="L16" s="11" t="n">
        <f aca="false">IF(J16="","",IF(J16=D16,1,0))</f>
        <v>1</v>
      </c>
      <c r="M16" s="11" t="n">
        <f aca="false">IF(K16="","",IF(K16=E16,1,0))</f>
        <v>1</v>
      </c>
      <c r="N16" s="11" t="n">
        <f aca="false">IF(OR(J16="",K16=""),"",IF(AND(J16=D16,K16=E16),1,0))</f>
        <v>1</v>
      </c>
      <c r="O16" s="11" t="n">
        <f aca="false">IF(OR(J16="",K16=""),"",IF(OR(N16=1,J16&amp;" / "&amp;K16=G16),1,0))</f>
        <v>1</v>
      </c>
      <c r="P16" s="7"/>
    </row>
  </sheetData>
  <autoFilter ref="A1:P16"/>
  <conditionalFormatting sqref="L2:L16">
    <cfRule type="expression" priority="2" aboveAverage="0" equalAverage="0" bottom="0" percent="0" rank="0" text="" dxfId="7">
      <formula>L2=1</formula>
    </cfRule>
    <cfRule type="expression" priority="3" aboveAverage="0" equalAverage="0" bottom="0" percent="0" rank="0" text="" dxfId="8">
      <formula>AND(L2&lt;&gt;"",L2=0)</formula>
    </cfRule>
  </conditionalFormatting>
  <conditionalFormatting sqref="M2:M16">
    <cfRule type="expression" priority="4" aboveAverage="0" equalAverage="0" bottom="0" percent="0" rank="0" text="" dxfId="7">
      <formula>M2=1</formula>
    </cfRule>
    <cfRule type="expression" priority="5" aboveAverage="0" equalAverage="0" bottom="0" percent="0" rank="0" text="" dxfId="8">
      <formula>AND(M2&lt;&gt;"",M2=0)</formula>
    </cfRule>
  </conditionalFormatting>
  <conditionalFormatting sqref="N2:N16">
    <cfRule type="expression" priority="6" aboveAverage="0" equalAverage="0" bottom="0" percent="0" rank="0" text="" dxfId="7">
      <formula>N2=1</formula>
    </cfRule>
    <cfRule type="expression" priority="7" aboveAverage="0" equalAverage="0" bottom="0" percent="0" rank="0" text="" dxfId="8">
      <formula>AND(N2&lt;&gt;"",N2=0)</formula>
    </cfRule>
  </conditionalFormatting>
  <conditionalFormatting sqref="O2:O16">
    <cfRule type="expression" priority="8" aboveAverage="0" equalAverage="0" bottom="0" percent="0" rank="0" text="" dxfId="7">
      <formula>O2=1</formula>
    </cfRule>
    <cfRule type="expression" priority="9" aboveAverage="0" equalAverage="0" bottom="0" percent="0" rank="0" text="" dxfId="8">
      <formula>AND(O2&lt;&gt;"",O2=0)</formula>
    </cfRule>
  </conditionalFormatting>
  <dataValidations count="2">
    <dataValidation allowBlank="true" errorStyle="stop" operator="between" showDropDown="false" showErrorMessage="false" showInputMessage="false" sqref="J2:J16" type="list">
      <formula1>"Avería,Reclamación,Otro"</formula1>
      <formula2>0</formula2>
    </dataValidation>
    <dataValidation allowBlank="true" errorStyle="stop" operator="between" showDropDown="false" showErrorMessage="false" showInputMessage="false" sqref="K2:K16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13" t="s">
        <v>107</v>
      </c>
    </row>
    <row r="3" customFormat="false" ht="15" hidden="false" customHeight="true" outlineLevel="0" collapsed="false">
      <c r="A3" s="6" t="s">
        <v>108</v>
      </c>
      <c r="B3" s="6" t="s">
        <v>109</v>
      </c>
      <c r="C3" s="6" t="s">
        <v>110</v>
      </c>
      <c r="D3" s="6" t="s">
        <v>111</v>
      </c>
    </row>
    <row r="4" customFormat="false" ht="15" hidden="false" customHeight="true" outlineLevel="0" collapsed="false">
      <c r="A4" s="14" t="s">
        <v>112</v>
      </c>
      <c r="B4" s="7" t="n">
        <f aca="false">SUM(Casos!L2:L16)</f>
        <v>14</v>
      </c>
      <c r="C4" s="7" t="n">
        <f aca="false">COUNT(Casos!L2:L16)</f>
        <v>15</v>
      </c>
      <c r="D4" s="15" t="n">
        <f aca="false">IF(C4=0,"-",B4/C4)</f>
        <v>0.933333333333333</v>
      </c>
    </row>
    <row r="5" customFormat="false" ht="15" hidden="false" customHeight="true" outlineLevel="0" collapsed="false">
      <c r="A5" s="14" t="s">
        <v>113</v>
      </c>
      <c r="B5" s="7" t="n">
        <f aca="false">SUM(Casos!M2:M16)</f>
        <v>13</v>
      </c>
      <c r="C5" s="7" t="n">
        <f aca="false">COUNT(Casos!M2:M16)</f>
        <v>15</v>
      </c>
      <c r="D5" s="15" t="n">
        <f aca="false">IF(C5=0,"-",B5/C5)</f>
        <v>0.866666666666667</v>
      </c>
    </row>
    <row r="6" customFormat="false" ht="15" hidden="false" customHeight="true" outlineLevel="0" collapsed="false">
      <c r="A6" s="14" t="s">
        <v>114</v>
      </c>
      <c r="B6" s="7" t="n">
        <f aca="false">SUM(Casos!N2:N16)</f>
        <v>12</v>
      </c>
      <c r="C6" s="7" t="n">
        <f aca="false">COUNT(Casos!N2:N16)</f>
        <v>15</v>
      </c>
      <c r="D6" s="15" t="n">
        <f aca="false">IF(C6=0,"-",B6/C6)</f>
        <v>0.8</v>
      </c>
    </row>
    <row r="7" customFormat="false" ht="15" hidden="false" customHeight="true" outlineLevel="0" collapsed="false">
      <c r="A7" s="14" t="s">
        <v>115</v>
      </c>
      <c r="B7" s="7" t="n">
        <f aca="false">SUM(Casos!O2:O16)</f>
        <v>15</v>
      </c>
      <c r="C7" s="7" t="n">
        <f aca="false">COUNT(Casos!O2:O16)</f>
        <v>15</v>
      </c>
      <c r="D7" s="15" t="n">
        <f aca="false">IF(C7=0,"-",B7/C7)</f>
        <v>1</v>
      </c>
    </row>
    <row r="10" customFormat="false" ht="15" hidden="false" customHeight="true" outlineLevel="0" collapsed="false">
      <c r="A10" s="6" t="s">
        <v>116</v>
      </c>
      <c r="B10" s="6" t="s">
        <v>109</v>
      </c>
      <c r="C10" s="6" t="s">
        <v>110</v>
      </c>
      <c r="D10" s="6" t="s">
        <v>111</v>
      </c>
    </row>
    <row r="11" customFormat="false" ht="15" hidden="false" customHeight="true" outlineLevel="0" collapsed="false">
      <c r="A11" s="14" t="s">
        <v>41</v>
      </c>
      <c r="B11" s="7" t="n">
        <f aca="false">SUMIFS(Casos!$N$2:$N$16,Casos!$B$2:$B$16,"Clara")</f>
        <v>8</v>
      </c>
      <c r="C11" s="7" t="n">
        <f aca="false">COUNTIFS(Casos!$B$2:$B$16,"Clara",Casos!$N$2:$N$16,"&gt;=0")</f>
        <v>8</v>
      </c>
      <c r="D11" s="15" t="n">
        <f aca="false">IF(C11=0,"-",B11/C11)</f>
        <v>1</v>
      </c>
    </row>
    <row r="12" customFormat="false" ht="15" hidden="false" customHeight="true" outlineLevel="0" collapsed="false">
      <c r="A12" s="14" t="s">
        <v>31</v>
      </c>
      <c r="B12" s="7" t="n">
        <f aca="false">SUMIFS(Casos!$N$2:$N$16,Casos!$B$2:$B$16,"Frontera")</f>
        <v>2</v>
      </c>
      <c r="C12" s="7" t="n">
        <f aca="false">COUNTIFS(Casos!$B$2:$B$16,"Frontera",Casos!$N$2:$N$16,"&gt;=0")</f>
        <v>4</v>
      </c>
      <c r="D12" s="15" t="n">
        <f aca="false">IF(C12=0,"-",B12/C12)</f>
        <v>0.5</v>
      </c>
    </row>
    <row r="13" customFormat="false" ht="15" hidden="false" customHeight="true" outlineLevel="0" collapsed="false">
      <c r="A13" s="14" t="s">
        <v>59</v>
      </c>
      <c r="B13" s="7" t="n">
        <f aca="false">SUMIFS(Casos!$N$2:$N$16,Casos!$B$2:$B$16,"Ambigua")</f>
        <v>2</v>
      </c>
      <c r="C13" s="7" t="n">
        <f aca="false">COUNTIFS(Casos!$B$2:$B$16,"Ambigua",Casos!$N$2:$N$16,"&gt;=0")</f>
        <v>3</v>
      </c>
      <c r="D13" s="15" t="n">
        <f aca="false">IF(C13=0,"-",B13/C13)</f>
        <v>0.666666666666667</v>
      </c>
    </row>
    <row r="16" customFormat="false" ht="15" hidden="false" customHeight="true" outlineLevel="0" collapsed="false">
      <c r="A16" s="16" t="s">
        <v>117</v>
      </c>
    </row>
    <row r="17" customFormat="false" ht="15" hidden="false" customHeight="true" outlineLevel="0" collapsed="false">
      <c r="A17" s="6" t="s">
        <v>118</v>
      </c>
      <c r="B17" s="6" t="s">
        <v>38</v>
      </c>
      <c r="C17" s="6" t="s">
        <v>34</v>
      </c>
      <c r="D17" s="6" t="s">
        <v>51</v>
      </c>
      <c r="E17" s="6" t="s">
        <v>119</v>
      </c>
    </row>
    <row r="18" customFormat="false" ht="15" hidden="false" customHeight="true" outlineLevel="0" collapsed="false">
      <c r="A18" s="17" t="s">
        <v>38</v>
      </c>
      <c r="B18" s="7" t="n">
        <f aca="false">COUNTIFS(Casos!$E$2:$E$16,"Alta",Casos!$K$2:$K$16,"Alta")</f>
        <v>5</v>
      </c>
      <c r="C18" s="7" t="n">
        <f aca="false">COUNTIFS(Casos!$E$2:$E$16,"Alta",Casos!$K$2:$K$16,"Media")</f>
        <v>0</v>
      </c>
      <c r="D18" s="7" t="n">
        <f aca="false">COUNTIFS(Casos!$E$2:$E$16,"Alta",Casos!$K$2:$K$16,"Baja")</f>
        <v>0</v>
      </c>
      <c r="E18" s="7" t="n">
        <f aca="false">SUM(B18:D18)</f>
        <v>5</v>
      </c>
    </row>
    <row r="19" customFormat="false" ht="15" hidden="false" customHeight="true" outlineLevel="0" collapsed="false">
      <c r="A19" s="17" t="s">
        <v>34</v>
      </c>
      <c r="B19" s="7" t="n">
        <f aca="false">COUNTIFS(Casos!$E$2:$E$16,"Media",Casos!$K$2:$K$16,"Alta")</f>
        <v>1</v>
      </c>
      <c r="C19" s="7" t="n">
        <f aca="false">COUNTIFS(Casos!$E$2:$E$16,"Media",Casos!$K$2:$K$16,"Media")</f>
        <v>4</v>
      </c>
      <c r="D19" s="7" t="n">
        <f aca="false">COUNTIFS(Casos!$E$2:$E$16,"Media",Casos!$K$2:$K$16,"Baja")</f>
        <v>1</v>
      </c>
      <c r="E19" s="7" t="n">
        <f aca="false">SUM(B19:D19)</f>
        <v>6</v>
      </c>
    </row>
    <row r="20" customFormat="false" ht="15" hidden="false" customHeight="true" outlineLevel="0" collapsed="false">
      <c r="A20" s="17" t="s">
        <v>51</v>
      </c>
      <c r="B20" s="7" t="n">
        <f aca="false">COUNTIFS(Casos!$E$2:$E$16,"Baja",Casos!$K$2:$K$16,"Alta")</f>
        <v>0</v>
      </c>
      <c r="C20" s="7" t="n">
        <f aca="false">COUNTIFS(Casos!$E$2:$E$16,"Baja",Casos!$K$2:$K$16,"Media")</f>
        <v>0</v>
      </c>
      <c r="D20" s="7" t="n">
        <f aca="false">COUNTIFS(Casos!$E$2:$E$16,"Baja",Casos!$K$2:$K$16,"Baja")</f>
        <v>4</v>
      </c>
      <c r="E20" s="7" t="n">
        <f aca="false">SUM(B20:D20)</f>
        <v>4</v>
      </c>
    </row>
    <row r="21" customFormat="false" ht="15" hidden="false" customHeight="true" outlineLevel="0" collapsed="false">
      <c r="A21" s="17" t="s">
        <v>119</v>
      </c>
      <c r="B21" s="7" t="n">
        <f aca="false">SUM(B18:B20)</f>
        <v>6</v>
      </c>
      <c r="C21" s="7" t="n">
        <f aca="false">SUM(C18:C20)</f>
        <v>4</v>
      </c>
      <c r="D21" s="7" t="n">
        <f aca="false">SUM(D18:D20)</f>
        <v>5</v>
      </c>
      <c r="E21" s="7" t="n">
        <f aca="false">SUM(E18:E20)</f>
        <v>15</v>
      </c>
    </row>
    <row r="24" customFormat="false" ht="15" hidden="false" customHeight="true" outlineLevel="0" collapsed="false">
      <c r="A24" s="16" t="s">
        <v>120</v>
      </c>
    </row>
    <row r="25" customFormat="false" ht="15" hidden="false" customHeight="true" outlineLevel="0" collapsed="false">
      <c r="A25" s="6" t="s">
        <v>121</v>
      </c>
      <c r="B25" s="6" t="s">
        <v>33</v>
      </c>
      <c r="C25" s="6" t="s">
        <v>61</v>
      </c>
      <c r="D25" s="6" t="s">
        <v>82</v>
      </c>
      <c r="E25" s="6" t="s">
        <v>119</v>
      </c>
    </row>
    <row r="26" customFormat="false" ht="15" hidden="false" customHeight="true" outlineLevel="0" collapsed="false">
      <c r="A26" s="17" t="s">
        <v>33</v>
      </c>
      <c r="B26" s="7" t="n">
        <f aca="false">COUNTIFS(Casos!$D$2:$D$16,"Avería",Casos!$J$2:$J$16,"Avería")</f>
        <v>6</v>
      </c>
      <c r="C26" s="7" t="n">
        <f aca="false">COUNTIFS(Casos!$D$2:$D$16,"Avería",Casos!$J$2:$J$16,"Reclamación")</f>
        <v>0</v>
      </c>
      <c r="D26" s="7" t="n">
        <f aca="false">COUNTIFS(Casos!$D$2:$D$16,"Avería",Casos!$J$2:$J$16,"Otro")</f>
        <v>0</v>
      </c>
      <c r="E26" s="7" t="n">
        <f aca="false">SUM(B26:D26)</f>
        <v>6</v>
      </c>
    </row>
    <row r="27" customFormat="false" ht="15" hidden="false" customHeight="true" outlineLevel="0" collapsed="false">
      <c r="A27" s="17" t="s">
        <v>61</v>
      </c>
      <c r="B27" s="7" t="n">
        <f aca="false">COUNTIFS(Casos!$D$2:$D$16,"Reclamación",Casos!$J$2:$J$16,"Avería")</f>
        <v>0</v>
      </c>
      <c r="C27" s="7" t="n">
        <f aca="false">COUNTIFS(Casos!$D$2:$D$16,"Reclamación",Casos!$J$2:$J$16,"Reclamación")</f>
        <v>4</v>
      </c>
      <c r="D27" s="7" t="n">
        <f aca="false">COUNTIFS(Casos!$D$2:$D$16,"Reclamación",Casos!$J$2:$J$16,"Otro")</f>
        <v>0</v>
      </c>
      <c r="E27" s="7" t="n">
        <f aca="false">SUM(B27:D27)</f>
        <v>4</v>
      </c>
    </row>
    <row r="28" customFormat="false" ht="15" hidden="false" customHeight="true" outlineLevel="0" collapsed="false">
      <c r="A28" s="17" t="s">
        <v>82</v>
      </c>
      <c r="B28" s="7" t="n">
        <f aca="false">COUNTIFS(Casos!$D$2:$D$16,"Otro",Casos!$J$2:$J$16,"Avería")</f>
        <v>0</v>
      </c>
      <c r="C28" s="7" t="n">
        <f aca="false">COUNTIFS(Casos!$D$2:$D$16,"Otro",Casos!$J$2:$J$16,"Reclamación")</f>
        <v>1</v>
      </c>
      <c r="D28" s="7" t="n">
        <f aca="false">COUNTIFS(Casos!$D$2:$D$16,"Otro",Casos!$J$2:$J$16,"Otro")</f>
        <v>4</v>
      </c>
      <c r="E28" s="7" t="n">
        <f aca="false">SUM(B28:D28)</f>
        <v>5</v>
      </c>
    </row>
    <row r="29" customFormat="false" ht="15" hidden="false" customHeight="true" outlineLevel="0" collapsed="false">
      <c r="A29" s="17" t="s">
        <v>119</v>
      </c>
      <c r="B29" s="7" t="n">
        <f aca="false">SUM(B26:B28)</f>
        <v>6</v>
      </c>
      <c r="C29" s="7" t="n">
        <f aca="false">SUM(C26:C28)</f>
        <v>5</v>
      </c>
      <c r="D29" s="7" t="n">
        <f aca="false">SUM(D26:D28)</f>
        <v>4</v>
      </c>
      <c r="E29" s="7" t="n">
        <f aca="false">SUM(E26:E28)</f>
        <v>15</v>
      </c>
    </row>
    <row r="32" customFormat="false" ht="15" hidden="false" customHeight="true" outlineLevel="0" collapsed="false">
      <c r="A32" s="16" t="s">
        <v>122</v>
      </c>
    </row>
    <row r="33" customFormat="false" ht="15" hidden="false" customHeight="true" outlineLevel="0" collapsed="false">
      <c r="A33" s="6" t="s">
        <v>123</v>
      </c>
      <c r="B33" s="6" t="s">
        <v>124</v>
      </c>
    </row>
    <row r="34" customFormat="false" ht="15" hidden="false" customHeight="true" outlineLevel="0" collapsed="false">
      <c r="A34" s="14" t="s">
        <v>125</v>
      </c>
      <c r="B34" s="7" t="n">
        <f aca="false">COUNTIFS(Casos!$E$2:$E$16,"Alta",Casos!$K$2:$K$16,"Alta")</f>
        <v>5</v>
      </c>
    </row>
    <row r="35" customFormat="false" ht="15" hidden="false" customHeight="true" outlineLevel="0" collapsed="false">
      <c r="A35" s="14" t="s">
        <v>126</v>
      </c>
      <c r="B35" s="7" t="n">
        <f aca="false">COUNTIFS(Casos!$E$2:$E$16,"Alta",Casos!$K$2:$K$16,"&lt;&gt;Alta",Casos!$K$2:$K$16,"&lt;&gt;")</f>
        <v>0</v>
      </c>
    </row>
    <row r="36" customFormat="false" ht="15" hidden="false" customHeight="true" outlineLevel="0" collapsed="false">
      <c r="A36" s="14" t="s">
        <v>127</v>
      </c>
      <c r="B36" s="7" t="n">
        <f aca="false">COUNTIFS(Casos!$E$2:$E$16,"&lt;&gt;Alta",Casos!$K$2:$K$16,"Alta")</f>
        <v>1</v>
      </c>
    </row>
    <row r="38" customFormat="false" ht="15" hidden="false" customHeight="true" outlineLevel="0" collapsed="false">
      <c r="A38" s="18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2026-10-15T10:18:19Z</dcterms:created>
  <dc:creator>openpyxl</dc:creator>
  <dc:description/>
  <dc:language>en-US</dc:language>
  <cp:lastModifiedBy/>
  <dcterms:modified xsi:type="dcterms:W3CDTF">2026-10-15T10:35:31Z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